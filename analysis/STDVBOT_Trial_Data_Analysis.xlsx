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Dashboard" sheetId="2" state="visible" r:id="rId2"/>
    <sheet name="Trade Log" sheetId="3" state="visible" r:id="rId3"/>
    <sheet name="Dai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0.0%;(0.0%);&quot;-&quot;"/>
    <numFmt numFmtId="166" formatCode="0.00;(0.00);&quot;-&quot;"/>
    <numFmt numFmtId="167" formatCode="0.00&quot;R&quot;;(0.00&quot;R&quot;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i val="1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 wrapText="1"/>
    </xf>
    <xf numFmtId="0" fontId="6" fillId="6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How to use this workbook</t>
        </is>
      </c>
    </row>
    <row r="3" ht="45" customHeight="1">
      <c r="A3" s="2" t="inlineStr">
        <is>
          <t>Purpose</t>
        </is>
      </c>
      <c r="B3" s="3" t="inlineStr">
        <is>
          <t>Log real (paper or live) trades taken with the manipulation-leg / liquidity-sweep strategy (stdvbot/manipulation_leg_strategy.py) and see profitability + MyFundedFutures Pro 50K compliance metrics update automatically.</t>
        </is>
      </c>
    </row>
    <row r="4" ht="45" customHeight="1">
      <c r="A4" s="2" t="inlineStr">
        <is>
          <t>Where to enter data</t>
        </is>
      </c>
      <c r="B4" s="3" t="inlineStr">
        <is>
          <t>'Trade Log' sheet, starting at row 3 (row 2 is a labeled SAMPLE row — delete its contents, or the whole row, once you have real trades; do not delete the formulas in columns I, L, O, X, Y, Z, AA, AB, AC, AD, AE, AF, they auto-compute).</t>
        </is>
      </c>
    </row>
    <row r="5" ht="45" customHeight="1">
      <c r="A5" s="2" t="inlineStr">
        <is>
          <t>Yellow cells</t>
        </is>
      </c>
      <c r="B5" s="3" t="inlineStr">
        <is>
          <t>The only cells meant to be typed into: Dashboard!B4:B11 (account/instrument assumptions), 'Trade Log' input columns (A/D/J/K/M/N/P/Q/R/S/T/U/V/W/AG are formulas or free entry — see column-by-column notes below), and 'Daily Summary'!A (one date per row you traded).</t>
        </is>
      </c>
    </row>
    <row r="6" ht="45" customHeight="1">
      <c r="A6" s="2" t="inlineStr">
        <is>
          <t>Killzone</t>
        </is>
      </c>
      <c r="B6" s="3" t="inlineStr">
        <is>
          <t>Asia (20:00 local) or NY (09:30 local). London is not traded per the strategy spec.</t>
        </is>
      </c>
    </row>
    <row r="7" ht="45" customHeight="1">
      <c r="A7" s="2" t="inlineStr">
        <is>
          <t>Daily Bias / Regime</t>
        </is>
      </c>
      <c r="B7" s="3" t="inlineStr">
        <is>
          <t>Read from the higher-timeframe leg (Daily/4H) and Kaufman's Efficiency Ratio — see docs/manipulation_leg_strategy.md §1 and §4. Record what the bot/your analysis determined at the time of the trade.</t>
        </is>
      </c>
    </row>
    <row r="8" ht="45" customHeight="1">
      <c r="A8" s="2" t="inlineStr">
        <is>
          <t>Leg Direction vs Trade Direction</t>
        </is>
      </c>
      <c r="B8" s="3" t="inlineStr">
        <is>
          <t>Trade direction should equal leg direction (corrected rule — an up leg gives a long entry). Column O flags 'CHECK' if they don't match, as a sanity check against the earlier (wrong) 'opposite the leg' version.</t>
        </is>
      </c>
    </row>
    <row r="9" ht="45" customHeight="1">
      <c r="A9" s="2" t="inlineStr">
        <is>
          <t>Level Grade</t>
        </is>
      </c>
      <c r="B9" s="3" t="inlineStr">
        <is>
          <t>Auto-computed from the fib multiple touched (column K): &gt;= the A+ threshold (Dashboard!B11, default 4.5) = 'A+' (near-standalone signal), else 'B-' (needs confluence).</t>
        </is>
      </c>
    </row>
    <row r="10" ht="45" customHeight="1">
      <c r="A10" s="2" t="inlineStr">
        <is>
          <t>Confluence Score</t>
        </is>
      </c>
      <c r="B10" s="3" t="inlineStr">
        <is>
          <t>0-4: count of candlestick pattern / VWAP proximity / round-number proximity / POI alignment checks that passed on the touching candle. See spec §3.</t>
        </is>
      </c>
    </row>
    <row r="11" ht="45" customHeight="1">
      <c r="A11" s="2" t="inlineStr">
        <is>
          <t>Risk ($) / PnL ($)</t>
        </is>
      </c>
      <c r="B11" s="3" t="inlineStr">
        <is>
          <t>Computed from entry/stop/exit prices, contracts, and the tick size/value assumptions on the Dashboard (defaults are MNQ: 0.25 tick size, $0.50/tick).</t>
        </is>
      </c>
    </row>
    <row r="12" ht="45" customHeight="1">
      <c r="A12" s="2" t="inlineStr">
        <is>
          <t>R Multiple</t>
        </is>
      </c>
      <c r="B12" s="3" t="inlineStr">
        <is>
          <t>PnL ($) / Risk ($) — how many multiples of planned risk the trade returned.</t>
        </is>
      </c>
    </row>
    <row r="13" ht="45" customHeight="1">
      <c r="A13" s="2" t="inlineStr">
        <is>
          <t>Cumulative / Peak Equity, Drawdown</t>
        </is>
      </c>
      <c r="B13" s="3" t="inlineStr">
        <is>
          <t>Chained down the Trade Log (column AD/AE/AF) starting from Dashboard!B4 (Starting Balance); the sample row (row 2) is excluded from this chain so it doesn't distort real results.</t>
        </is>
      </c>
    </row>
    <row r="14" ht="45" customHeight="1">
      <c r="A14" s="2" t="inlineStr">
        <is>
          <t>Daily Summary sheet</t>
        </is>
      </c>
      <c r="B14" s="3" t="inlineStr">
        <is>
          <t>Add one row per day you traded (column A, a date already present in the Trade Log). Everything else recomputes automatically, including a running EOD trailing high-water-mark / MLL floor check (MFF Pro 50K: $2,000 MLL, lock point $52,100).</t>
        </is>
      </c>
    </row>
    <row r="15" ht="45" customHeight="1">
      <c r="A15" s="2" t="inlineStr">
        <is>
          <t>Dashboard — Prop-Firm Compliance</t>
        </is>
      </c>
      <c r="B15" s="3" t="inlineStr">
        <is>
          <t>Live snapshot: distance to the $3,000 profit target, current MLL floor and cushion, breach status, and a consistency-rule check (flags if one day is more than 50% of total profit, per MFF's 50% consistency rule).</t>
        </is>
      </c>
    </row>
    <row r="16" ht="45" customHeight="1">
      <c r="A16" s="2" t="inlineStr">
        <is>
          <t>Dashboard — Breakdowns</t>
        </is>
      </c>
      <c r="B16" s="3" t="inlineStr">
        <is>
          <t>Win rate / net P&amp;L / avg R sliced by killzone, grade, regime, and trade direction, to see which conditions the strategy is actually working in.</t>
        </is>
      </c>
    </row>
    <row r="17" ht="45" customHeight="1">
      <c r="A17" s="2" t="inlineStr">
        <is>
          <t>Not covered yet</t>
        </is>
      </c>
      <c r="B17" s="3" t="inlineStr">
        <is>
          <t>This workbook analyzes trades you log manually. It does not ingest raw OHLC candles — backtesting against real 1-minute data happens in stdvbot (see examples/run_manipulation_leg_backtest.py). Feed this sheet real (paper or live) trade results once you're executing, not raw candles.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STDVBOT — Manipulation-Leg Strategy — Trial Data Dashboard</t>
        </is>
      </c>
      <c r="B1" s="4" t="n"/>
      <c r="C1" s="4" t="n"/>
      <c r="D1" s="4" t="n"/>
      <c r="E1" s="4" t="n"/>
    </row>
    <row r="3">
      <c r="A3" s="5" t="inlineStr">
        <is>
          <t>Account &amp; Instrument Assumptions (edit yellow cells)</t>
        </is>
      </c>
    </row>
    <row r="4">
      <c r="A4" s="6" t="inlineStr">
        <is>
          <t>Starting Balance ($)</t>
        </is>
      </c>
      <c r="B4" s="7" t="n">
        <v>50000</v>
      </c>
    </row>
    <row r="5">
      <c r="A5" s="6" t="inlineStr">
        <is>
          <t>Max Loss Limit / MLL ($)</t>
        </is>
      </c>
      <c r="B5" s="7" t="n">
        <v>2000</v>
      </c>
    </row>
    <row r="6">
      <c r="A6" s="6" t="inlineStr">
        <is>
          <t>Profit Target ($)</t>
        </is>
      </c>
      <c r="B6" s="7" t="n">
        <v>3000</v>
      </c>
    </row>
    <row r="7">
      <c r="A7" s="6" t="inlineStr">
        <is>
          <t>Drawdown Lock Point ($, EOD trailing cap)</t>
        </is>
      </c>
      <c r="B7" s="7" t="n">
        <v>52100</v>
      </c>
    </row>
    <row r="8">
      <c r="A8" s="6" t="inlineStr">
        <is>
          <t>Consistency Rule — max single day as % of total profit</t>
        </is>
      </c>
      <c r="B8" s="8" t="n">
        <v>0.5</v>
      </c>
    </row>
    <row r="9">
      <c r="A9" s="6" t="inlineStr">
        <is>
          <t>Instrument Tick Size (MNQ)</t>
        </is>
      </c>
      <c r="B9" s="9" t="n">
        <v>0.25</v>
      </c>
    </row>
    <row r="10">
      <c r="A10" s="6" t="inlineStr">
        <is>
          <t>Instrument Tick Value ($ per tick, MNQ)</t>
        </is>
      </c>
      <c r="B10" s="7" t="n">
        <v>0.5</v>
      </c>
    </row>
    <row r="11">
      <c r="A11" s="6" t="inlineStr">
        <is>
          <t>A+ Grade Threshold (fib level multiple)</t>
        </is>
      </c>
      <c r="B11" s="9" t="n">
        <v>4.5</v>
      </c>
    </row>
    <row r="13">
      <c r="A13" s="5" t="inlineStr">
        <is>
          <t>Performance Summary (auto-computed from Trade Log)</t>
        </is>
      </c>
    </row>
    <row r="14">
      <c r="A14" s="6" t="inlineStr">
        <is>
          <t>Total Trades Logged</t>
        </is>
      </c>
      <c r="B14" s="10">
        <f>COUNT('Trade Log'!$AA$3:$AA$152)</f>
        <v/>
      </c>
    </row>
    <row r="15">
      <c r="A15" s="6" t="inlineStr">
        <is>
          <t>Wins</t>
        </is>
      </c>
      <c r="B15" s="10">
        <f>COUNTIF('Trade Log'!$AC$3:$AC$152,1)</f>
        <v/>
      </c>
    </row>
    <row r="16">
      <c r="A16" s="6" t="inlineStr">
        <is>
          <t>Losses</t>
        </is>
      </c>
      <c r="B16" s="10">
        <f>COUNTIF('Trade Log'!$AC$3:$AC$152,0)</f>
        <v/>
      </c>
    </row>
    <row r="17">
      <c r="A17" s="6" t="inlineStr">
        <is>
          <t>Win Rate %</t>
        </is>
      </c>
      <c r="B17" s="11">
        <f>IFERROR(B15/B14,"")</f>
        <v/>
      </c>
    </row>
    <row r="18">
      <c r="A18" s="6" t="inlineStr">
        <is>
          <t>Gross Profit ($)</t>
        </is>
      </c>
      <c r="B18" s="12">
        <f>SUMIF('Trade Log'!$AA$3:$AA$152,"&gt;0")</f>
        <v/>
      </c>
    </row>
    <row r="19">
      <c r="A19" s="6" t="inlineStr">
        <is>
          <t>Gross Loss ($)</t>
        </is>
      </c>
      <c r="B19" s="12">
        <f>SUMIF('Trade Log'!$AA$3:$AA$152,"&lt;0")</f>
        <v/>
      </c>
    </row>
    <row r="20">
      <c r="A20" s="6" t="inlineStr">
        <is>
          <t>Profit Factor (Gross Profit / |Gross Loss|)</t>
        </is>
      </c>
      <c r="B20" s="13">
        <f>IFERROR(B18/ABS(B19),"")</f>
        <v/>
      </c>
    </row>
    <row r="21">
      <c r="A21" s="6" t="inlineStr">
        <is>
          <t>Net P&amp;L ($)</t>
        </is>
      </c>
      <c r="B21" s="12">
        <f>SUM('Trade Log'!$AA$3:$AA$152)</f>
        <v/>
      </c>
    </row>
    <row r="22">
      <c r="A22" s="6" t="inlineStr">
        <is>
          <t>Net P&amp;L (% of Starting Balance)</t>
        </is>
      </c>
      <c r="B22" s="11">
        <f>IFERROR(B21/B4,"")</f>
        <v/>
      </c>
    </row>
    <row r="23">
      <c r="A23" s="6" t="inlineStr">
        <is>
          <t>Average Win ($)</t>
        </is>
      </c>
      <c r="B23" s="12">
        <f>IFERROR(AVERAGEIF('Trade Log'!$AA$3:$AA$152,"&gt;0"),"")</f>
        <v/>
      </c>
    </row>
    <row r="24">
      <c r="A24" s="6" t="inlineStr">
        <is>
          <t>Average Loss ($)</t>
        </is>
      </c>
      <c r="B24" s="12">
        <f>IFERROR(AVERAGEIF('Trade Log'!$AA$3:$AA$152,"&lt;0"),"")</f>
        <v/>
      </c>
    </row>
    <row r="25">
      <c r="A25" s="6" t="inlineStr">
        <is>
          <t>Average R Multiple</t>
        </is>
      </c>
      <c r="B25" s="14">
        <f>IFERROR(AVERAGE('Trade Log'!$AB$3:$AB$152),"")</f>
        <v/>
      </c>
    </row>
    <row r="26">
      <c r="A26" s="6" t="inlineStr">
        <is>
          <t>Expectancy per Trade ($)</t>
        </is>
      </c>
      <c r="B26" s="12">
        <f>IFERROR(B21/B14,"")</f>
        <v/>
      </c>
    </row>
    <row r="27">
      <c r="A27" s="6" t="inlineStr">
        <is>
          <t>Current Equity ($)</t>
        </is>
      </c>
      <c r="B27" s="12">
        <f>B4+B21</f>
        <v/>
      </c>
    </row>
    <row r="28">
      <c r="A28" s="6" t="inlineStr">
        <is>
          <t>Max Drawdown ($, peak-to-trough)</t>
        </is>
      </c>
      <c r="B28" s="12">
        <f>MAX('Trade Log'!$AF$3:$AF$152)</f>
        <v/>
      </c>
    </row>
    <row r="29">
      <c r="A29" s="6" t="inlineStr">
        <is>
          <t>Max Drawdown (%)</t>
        </is>
      </c>
      <c r="B29" s="11">
        <f>IFERROR(B28/MAX('Trade Log'!$AE$3:$AE$152),"")</f>
        <v/>
      </c>
    </row>
    <row r="31">
      <c r="A31" s="5" t="inlineStr">
        <is>
          <t>Prop-Firm Compliance — MyFundedFutures Pro 50K</t>
        </is>
      </c>
    </row>
    <row r="32">
      <c r="A32" s="6" t="inlineStr">
        <is>
          <t>Distance to Profit Target ($)</t>
        </is>
      </c>
      <c r="B32" s="12">
        <f>B6-B21</f>
        <v/>
      </c>
    </row>
    <row r="33">
      <c r="A33" s="6" t="inlineStr">
        <is>
          <t>High-Water Mark, capped at Lock Point ($)</t>
        </is>
      </c>
      <c r="B33" s="12">
        <f>MIN($B$7,MAX($B$4,MAX('Trade Log'!$AD$3:$AD$152)))</f>
        <v/>
      </c>
    </row>
    <row r="34">
      <c r="A34" s="6" t="inlineStr">
        <is>
          <t>MLL Floor ($) = HWM - MLL</t>
        </is>
      </c>
      <c r="B34" s="12">
        <f>B33-B5</f>
        <v/>
      </c>
    </row>
    <row r="35">
      <c r="A35" s="6" t="inlineStr">
        <is>
          <t>Cushion to Floor ($)</t>
        </is>
      </c>
      <c r="B35" s="12">
        <f>B27-B34</f>
        <v/>
      </c>
    </row>
    <row r="36">
      <c r="A36" s="6" t="inlineStr">
        <is>
          <t>Breach Status</t>
        </is>
      </c>
      <c r="B36" s="10">
        <f>IF(B27&lt;B34,"BREACH","OK")</f>
        <v/>
      </c>
    </row>
    <row r="37">
      <c r="A37" s="6" t="inlineStr">
        <is>
          <t>Consistency Check (best day / net profit)</t>
        </is>
      </c>
      <c r="B37" s="11">
        <f>IFERROR(MAX('Daily Summary'!$E$2:$E$151)/MAX(B21,0.01),"")</f>
        <v/>
      </c>
    </row>
    <row r="38">
      <c r="A38" s="6" t="inlineStr">
        <is>
          <t>Consistency Rule Status</t>
        </is>
      </c>
      <c r="B38" s="10">
        <f>IF(B37="","No data yet",IF(B37&lt;=B8,"OK","VIOLATION"))</f>
        <v/>
      </c>
    </row>
    <row r="39">
      <c r="A39" s="6" t="inlineStr">
        <is>
          <t>Days Traded (from Daily Summary)</t>
        </is>
      </c>
      <c r="B39" s="10">
        <f>COUNTA('Daily Summary'!$A$2:$A$151)</f>
        <v/>
      </c>
    </row>
    <row r="41">
      <c r="A41" s="5" t="inlineStr">
        <is>
          <t>Breakdown by Killzone</t>
        </is>
      </c>
    </row>
    <row r="42">
      <c r="A42" s="15" t="inlineStr">
        <is>
          <t>Killzone</t>
        </is>
      </c>
      <c r="B42" s="15" t="inlineStr">
        <is>
          <t>Trades</t>
        </is>
      </c>
      <c r="C42" s="15" t="inlineStr">
        <is>
          <t>Win Rate</t>
        </is>
      </c>
      <c r="D42" s="15" t="inlineStr">
        <is>
          <t>Net P&amp;L ($)</t>
        </is>
      </c>
      <c r="E42" s="15" t="inlineStr">
        <is>
          <t>Avg R</t>
        </is>
      </c>
    </row>
    <row r="43">
      <c r="A43" s="10" t="inlineStr">
        <is>
          <t>Asia</t>
        </is>
      </c>
      <c r="B43" s="10">
        <f>COUNTIF('Trade Log'!$C$3:$C$152,"Asia")</f>
        <v/>
      </c>
      <c r="C43" s="11">
        <f>IFERROR(COUNTIFS('Trade Log'!$C$3:$C$152,"Asia",'Trade Log'!$AC$3:$AC$152,1)/B43,"")</f>
        <v/>
      </c>
      <c r="D43" s="12">
        <f>SUMIFS('Trade Log'!$AA$3:$AA$152,'Trade Log'!$C$3:$C$152,"Asia")</f>
        <v/>
      </c>
      <c r="E43" s="14">
        <f>IFERROR(AVERAGEIFS('Trade Log'!$AB$3:$AB$152,'Trade Log'!$C$3:$C$152,"Asia"),"")</f>
        <v/>
      </c>
    </row>
    <row r="44">
      <c r="A44" s="10" t="inlineStr">
        <is>
          <t>NY</t>
        </is>
      </c>
      <c r="B44" s="10">
        <f>COUNTIF('Trade Log'!$C$3:$C$152,"NY")</f>
        <v/>
      </c>
      <c r="C44" s="11">
        <f>IFERROR(COUNTIFS('Trade Log'!$C$3:$C$152,"NY",'Trade Log'!$AC$3:$AC$152,1)/B44,"")</f>
        <v/>
      </c>
      <c r="D44" s="12">
        <f>SUMIFS('Trade Log'!$AA$3:$AA$152,'Trade Log'!$C$3:$C$152,"NY")</f>
        <v/>
      </c>
      <c r="E44" s="14">
        <f>IFERROR(AVERAGEIFS('Trade Log'!$AB$3:$AB$152,'Trade Log'!$C$3:$C$152,"NY"),"")</f>
        <v/>
      </c>
    </row>
    <row r="46">
      <c r="A46" s="5" t="inlineStr">
        <is>
          <t>Breakdown by Level Grade</t>
        </is>
      </c>
    </row>
    <row r="47">
      <c r="A47" s="15" t="inlineStr">
        <is>
          <t>Grade</t>
        </is>
      </c>
      <c r="B47" s="15" t="inlineStr">
        <is>
          <t>Trades</t>
        </is>
      </c>
      <c r="C47" s="15" t="inlineStr">
        <is>
          <t>Win Rate</t>
        </is>
      </c>
      <c r="D47" s="15" t="inlineStr">
        <is>
          <t>Net P&amp;L ($)</t>
        </is>
      </c>
      <c r="E47" s="15" t="inlineStr">
        <is>
          <t>Avg R</t>
        </is>
      </c>
    </row>
    <row r="48">
      <c r="A48" s="10" t="inlineStr">
        <is>
          <t>B-</t>
        </is>
      </c>
      <c r="B48" s="10">
        <f>COUNTIF('Trade Log'!$L$3:$L$152,"B-")</f>
        <v/>
      </c>
      <c r="C48" s="11">
        <f>IFERROR(COUNTIFS('Trade Log'!$L$3:$L$152,"B-",'Trade Log'!$AC$3:$AC$152,1)/B48,"")</f>
        <v/>
      </c>
      <c r="D48" s="12">
        <f>SUMIFS('Trade Log'!$AA$3:$AA$152,'Trade Log'!$L$3:$L$152,"B-")</f>
        <v/>
      </c>
      <c r="E48" s="14">
        <f>IFERROR(AVERAGEIFS('Trade Log'!$AB$3:$AB$152,'Trade Log'!$L$3:$L$152,"B-"),"")</f>
        <v/>
      </c>
    </row>
    <row r="49">
      <c r="A49" s="10" t="inlineStr">
        <is>
          <t>A+</t>
        </is>
      </c>
      <c r="B49" s="10">
        <f>COUNTIF('Trade Log'!$L$3:$L$152,"A+")</f>
        <v/>
      </c>
      <c r="C49" s="11">
        <f>IFERROR(COUNTIFS('Trade Log'!$L$3:$L$152,"A+",'Trade Log'!$AC$3:$AC$152,1)/B49,"")</f>
        <v/>
      </c>
      <c r="D49" s="12">
        <f>SUMIFS('Trade Log'!$AA$3:$AA$152,'Trade Log'!$L$3:$L$152,"A+")</f>
        <v/>
      </c>
      <c r="E49" s="14">
        <f>IFERROR(AVERAGEIFS('Trade Log'!$AB$3:$AB$152,'Trade Log'!$L$3:$L$152,"A+"),"")</f>
        <v/>
      </c>
    </row>
    <row r="51">
      <c r="A51" s="5" t="inlineStr">
        <is>
          <t>Breakdown by Regime</t>
        </is>
      </c>
    </row>
    <row r="52">
      <c r="A52" s="15" t="inlineStr">
        <is>
          <t>Regime</t>
        </is>
      </c>
      <c r="B52" s="15" t="inlineStr">
        <is>
          <t>Trades</t>
        </is>
      </c>
      <c r="C52" s="15" t="inlineStr">
        <is>
          <t>Win Rate</t>
        </is>
      </c>
      <c r="D52" s="15" t="inlineStr">
        <is>
          <t>Net P&amp;L ($)</t>
        </is>
      </c>
      <c r="E52" s="15" t="inlineStr">
        <is>
          <t>Avg R</t>
        </is>
      </c>
    </row>
    <row r="53">
      <c r="A53" s="10" t="inlineStr">
        <is>
          <t>Ranging</t>
        </is>
      </c>
      <c r="B53" s="10">
        <f>COUNTIF('Trade Log'!$E$3:$E$152,"Ranging")</f>
        <v/>
      </c>
      <c r="C53" s="11">
        <f>IFERROR(COUNTIFS('Trade Log'!$E$3:$E$152,"Ranging",'Trade Log'!$AC$3:$AC$152,1)/B53,"")</f>
        <v/>
      </c>
      <c r="D53" s="12">
        <f>SUMIFS('Trade Log'!$AA$3:$AA$152,'Trade Log'!$E$3:$E$152,"Ranging")</f>
        <v/>
      </c>
      <c r="E53" s="14">
        <f>IFERROR(AVERAGEIFS('Trade Log'!$AB$3:$AB$152,'Trade Log'!$E$3:$E$152,"Ranging"),"")</f>
        <v/>
      </c>
    </row>
    <row r="54">
      <c r="A54" s="10" t="inlineStr">
        <is>
          <t>Trending</t>
        </is>
      </c>
      <c r="B54" s="10">
        <f>COUNTIF('Trade Log'!$E$3:$E$152,"Trending")</f>
        <v/>
      </c>
      <c r="C54" s="11">
        <f>IFERROR(COUNTIFS('Trade Log'!$E$3:$E$152,"Trending",'Trade Log'!$AC$3:$AC$152,1)/B54,"")</f>
        <v/>
      </c>
      <c r="D54" s="12">
        <f>SUMIFS('Trade Log'!$AA$3:$AA$152,'Trade Log'!$E$3:$E$152,"Trending")</f>
        <v/>
      </c>
      <c r="E54" s="14">
        <f>IFERROR(AVERAGEIFS('Trade Log'!$AB$3:$AB$152,'Trade Log'!$E$3:$E$152,"Trending"),"")</f>
        <v/>
      </c>
    </row>
    <row r="56">
      <c r="A56" s="5" t="inlineStr">
        <is>
          <t>Breakdown by Trade Direction</t>
        </is>
      </c>
    </row>
    <row r="57">
      <c r="A57" s="15" t="inlineStr">
        <is>
          <t>Direction</t>
        </is>
      </c>
      <c r="B57" s="15" t="inlineStr">
        <is>
          <t>Trades</t>
        </is>
      </c>
      <c r="C57" s="15" t="inlineStr">
        <is>
          <t>Win Rate</t>
        </is>
      </c>
      <c r="D57" s="15" t="inlineStr">
        <is>
          <t>Net P&amp;L ($)</t>
        </is>
      </c>
      <c r="E57" s="15" t="inlineStr">
        <is>
          <t>Avg R</t>
        </is>
      </c>
    </row>
    <row r="58">
      <c r="A58" s="10" t="inlineStr">
        <is>
          <t>Long</t>
        </is>
      </c>
      <c r="B58" s="10">
        <f>COUNTIF('Trade Log'!$N$3:$N$152,"Long")</f>
        <v/>
      </c>
      <c r="C58" s="11">
        <f>IFERROR(COUNTIFS('Trade Log'!$N$3:$N$152,"Long",'Trade Log'!$AC$3:$AC$152,1)/B58,"")</f>
        <v/>
      </c>
      <c r="D58" s="12">
        <f>SUMIFS('Trade Log'!$AA$3:$AA$152,'Trade Log'!$N$3:$N$152,"Long")</f>
        <v/>
      </c>
      <c r="E58" s="14">
        <f>IFERROR(AVERAGEIFS('Trade Log'!$AB$3:$AB$152,'Trade Log'!$N$3:$N$152,"Long"),"")</f>
        <v/>
      </c>
    </row>
    <row r="59">
      <c r="A59" s="10" t="inlineStr">
        <is>
          <t>Short</t>
        </is>
      </c>
      <c r="B59" s="10">
        <f>COUNTIF('Trade Log'!$N$3:$N$152,"Short")</f>
        <v/>
      </c>
      <c r="C59" s="11">
        <f>IFERROR(COUNTIFS('Trade Log'!$N$3:$N$152,"Short",'Trade Log'!$AC$3:$AC$152,1)/B59,"")</f>
        <v/>
      </c>
      <c r="D59" s="12">
        <f>SUMIFS('Trade Log'!$AA$3:$AA$152,'Trade Log'!$N$3:$N$152,"Short")</f>
        <v/>
      </c>
      <c r="E59" s="14">
        <f>IFERROR(AVERAGEIFS('Trade Log'!$AB$3:$AB$152,'Trade Log'!$N$3:$N$152,"Short"),"")</f>
        <v/>
      </c>
    </row>
  </sheetData>
  <mergeCells count="8">
    <mergeCell ref="A41:E41"/>
    <mergeCell ref="A51:E51"/>
    <mergeCell ref="A1:E1"/>
    <mergeCell ref="A46:E46"/>
    <mergeCell ref="A13:E13"/>
    <mergeCell ref="A31:E31"/>
    <mergeCell ref="A56:E5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1" customWidth="1" min="14" max="14"/>
    <col width="12" customWidth="1" min="15" max="15"/>
    <col width="10" customWidth="1" min="16" max="16"/>
    <col width="11" customWidth="1" min="17" max="17"/>
    <col width="11" customWidth="1" min="18" max="18"/>
    <col width="11" customWidth="1" min="19" max="19"/>
    <col width="10" customWidth="1" min="20" max="20"/>
    <col width="11" customWidth="1" min="21" max="21"/>
    <col width="10" customWidth="1" min="22" max="22"/>
    <col width="10" customWidth="1" min="23" max="23"/>
    <col width="11" customWidth="1" min="24" max="24"/>
    <col width="10" customWidth="1" min="25" max="25"/>
    <col width="9" customWidth="1" min="26" max="26"/>
    <col width="11" customWidth="1" min="27" max="27"/>
    <col width="9" customWidth="1" min="28" max="28"/>
    <col width="8" customWidth="1" min="29" max="29"/>
    <col width="14" customWidth="1" min="30" max="30"/>
    <col width="14" customWidth="1" min="31" max="31"/>
    <col width="11" customWidth="1" min="32" max="32"/>
    <col width="24" customWidth="1" min="33" max="33"/>
  </cols>
  <sheetData>
    <row r="1" ht="30" customHeight="1">
      <c r="A1" s="16" t="inlineStr">
        <is>
          <t>Trade #</t>
        </is>
      </c>
      <c r="B1" s="16" t="inlineStr">
        <is>
          <t>Date</t>
        </is>
      </c>
      <c r="C1" s="16" t="inlineStr">
        <is>
          <t>Killzone</t>
        </is>
      </c>
      <c r="D1" s="16" t="inlineStr">
        <is>
          <t>Daily Bias</t>
        </is>
      </c>
      <c r="E1" s="16" t="inlineStr">
        <is>
          <t>Regime</t>
        </is>
      </c>
      <c r="F1" s="16" t="inlineStr">
        <is>
          <t>Leg Direction</t>
        </is>
      </c>
      <c r="G1" s="16" t="inlineStr">
        <is>
          <t>Leg Origin Price</t>
        </is>
      </c>
      <c r="H1" s="16" t="inlineStr">
        <is>
          <t>Leg Extreme Price</t>
        </is>
      </c>
      <c r="I1" s="16" t="inlineStr">
        <is>
          <t>Leg Range (pts)</t>
        </is>
      </c>
      <c r="J1" s="16" t="inlineStr">
        <is>
          <t>Leg Candle Count</t>
        </is>
      </c>
      <c r="K1" s="16" t="inlineStr">
        <is>
          <t>Level Multiple Touched</t>
        </is>
      </c>
      <c r="L1" s="16" t="inlineStr">
        <is>
          <t>Level Grade</t>
        </is>
      </c>
      <c r="M1" s="16" t="inlineStr">
        <is>
          <t>Confluence Score (0-4)</t>
        </is>
      </c>
      <c r="N1" s="16" t="inlineStr">
        <is>
          <t>Trade Direction</t>
        </is>
      </c>
      <c r="O1" s="16" t="inlineStr">
        <is>
          <t>Direction Check</t>
        </is>
      </c>
      <c r="P1" s="16" t="inlineStr">
        <is>
          <t>Entry Time</t>
        </is>
      </c>
      <c r="Q1" s="16" t="inlineStr">
        <is>
          <t>Entry Price</t>
        </is>
      </c>
      <c r="R1" s="16" t="inlineStr">
        <is>
          <t>Stop Price</t>
        </is>
      </c>
      <c r="S1" s="16" t="inlineStr">
        <is>
          <t>Target Price</t>
        </is>
      </c>
      <c r="T1" s="16" t="inlineStr">
        <is>
          <t>Exit Time</t>
        </is>
      </c>
      <c r="U1" s="16" t="inlineStr">
        <is>
          <t>Exit Price</t>
        </is>
      </c>
      <c r="V1" s="16" t="inlineStr">
        <is>
          <t>Exit Reason</t>
        </is>
      </c>
      <c r="W1" s="16" t="inlineStr">
        <is>
          <t>Contracts</t>
        </is>
      </c>
      <c r="X1" s="16" t="inlineStr">
        <is>
          <t>Risk ($)</t>
        </is>
      </c>
      <c r="Y1" s="16" t="inlineStr">
        <is>
          <t>Points P/L</t>
        </is>
      </c>
      <c r="Z1" s="16" t="inlineStr">
        <is>
          <t>Ticks P/L</t>
        </is>
      </c>
      <c r="AA1" s="16" t="inlineStr">
        <is>
          <t>PnL ($)</t>
        </is>
      </c>
      <c r="AB1" s="16" t="inlineStr">
        <is>
          <t>R Multiple</t>
        </is>
      </c>
      <c r="AC1" s="16" t="inlineStr">
        <is>
          <t>Win (1/0)</t>
        </is>
      </c>
      <c r="AD1" s="16" t="inlineStr">
        <is>
          <t>Cumulative Equity ($)</t>
        </is>
      </c>
      <c r="AE1" s="16" t="inlineStr">
        <is>
          <t>Running Peak Equity ($)</t>
        </is>
      </c>
      <c r="AF1" s="16" t="inlineStr">
        <is>
          <t>Drawdown ($)</t>
        </is>
      </c>
      <c r="AG1" s="16" t="inlineStr">
        <is>
          <t>Notes</t>
        </is>
      </c>
    </row>
    <row r="2">
      <c r="A2" s="17" t="inlineStr">
        <is>
          <t>EX</t>
        </is>
      </c>
      <c r="B2" s="17" t="inlineStr">
        <is>
          <t>2026-01-15</t>
        </is>
      </c>
      <c r="C2" s="17" t="inlineStr">
        <is>
          <t>NY</t>
        </is>
      </c>
      <c r="D2" s="17" t="inlineStr">
        <is>
          <t>Down</t>
        </is>
      </c>
      <c r="E2" s="17" t="inlineStr">
        <is>
          <t>Ranging</t>
        </is>
      </c>
      <c r="F2" s="17" t="inlineStr">
        <is>
          <t>Up</t>
        </is>
      </c>
      <c r="G2" s="17" t="n">
        <v>15000</v>
      </c>
      <c r="H2" s="17" t="n">
        <v>15012</v>
      </c>
      <c r="I2" s="13">
        <f>IFERROR(ABS(H2-G2),"")</f>
        <v/>
      </c>
      <c r="J2" s="17" t="n">
        <v>3</v>
      </c>
      <c r="K2" s="17" t="n">
        <v>2.5</v>
      </c>
      <c r="L2" s="10">
        <f>IF(K2="","",IF(K2&gt;=Dashboard!$B$11,"A+","B-"))</f>
        <v/>
      </c>
      <c r="M2" s="17" t="n">
        <v>2</v>
      </c>
      <c r="N2" s="17" t="inlineStr">
        <is>
          <t>Long</t>
        </is>
      </c>
      <c r="O2" s="10">
        <f>IF(OR(N2="",F2=""),"",IF(OR(AND(F2="Up",N2="Long"),AND(F2="Down",N2="Short")),"OK","CHECK"))</f>
        <v/>
      </c>
      <c r="P2" s="17" t="inlineStr">
        <is>
          <t>09:34</t>
        </is>
      </c>
      <c r="Q2" s="17" t="n">
        <v>14970</v>
      </c>
      <c r="R2" s="17" t="n">
        <v>14952</v>
      </c>
      <c r="S2" s="17" t="n">
        <v>14990</v>
      </c>
      <c r="T2" s="17" t="inlineStr">
        <is>
          <t>10:15</t>
        </is>
      </c>
      <c r="U2" s="17" t="n">
        <v>14990</v>
      </c>
      <c r="V2" s="17" t="inlineStr">
        <is>
          <t>Target</t>
        </is>
      </c>
      <c r="W2" s="17" t="n">
        <v>2</v>
      </c>
      <c r="X2" s="12">
        <f>IFERROR(ABS(Q2-R2)/Dashboard!$B$9*Dashboard!$B$10*W2,"")</f>
        <v/>
      </c>
      <c r="Y2" s="13">
        <f>IFERROR(IF(N2="Long",U2-Q2,IF(N2="Short",Q2-U2,"")),"")</f>
        <v/>
      </c>
      <c r="Z2" s="13">
        <f>IFERROR(Y2/Dashboard!$B$9,"")</f>
        <v/>
      </c>
      <c r="AA2" s="12">
        <f>IFERROR(Z2*Dashboard!$B$10*W2,"")</f>
        <v/>
      </c>
      <c r="AB2" s="14">
        <f>IFERROR(AA2/X2,"")</f>
        <v/>
      </c>
      <c r="AC2" s="10">
        <f>IF(AA2="","",IF(AA2&gt;0,1,0))</f>
        <v/>
      </c>
      <c r="AD2" s="12">
        <f>Dashboard!$B$4+IF(AA2="",0,AA2)</f>
        <v/>
      </c>
      <c r="AE2" s="12">
        <f>AD2</f>
        <v/>
      </c>
      <c r="AF2" s="12">
        <f>AE2-AD2</f>
        <v/>
      </c>
      <c r="AG2" s="17" t="inlineStr">
        <is>
          <t>SAMPLE ROW - delete before entering real data. Shows expected format only.</t>
        </is>
      </c>
    </row>
    <row r="3">
      <c r="A3" s="10">
        <f>ROW()-2</f>
        <v/>
      </c>
      <c r="B3" s="10" t="n"/>
      <c r="C3" s="10" t="n"/>
      <c r="D3" s="10" t="n"/>
      <c r="E3" s="10" t="n"/>
      <c r="F3" s="10" t="n"/>
      <c r="G3" s="10" t="n"/>
      <c r="H3" s="10" t="n"/>
      <c r="I3" s="13">
        <f>IFERROR(ABS(H3-G3),"")</f>
        <v/>
      </c>
      <c r="J3" s="10" t="n"/>
      <c r="K3" s="10" t="n"/>
      <c r="L3" s="10">
        <f>IF(K3="","",IF(K3&gt;=Dashboard!$B$11,"A+","B-"))</f>
        <v/>
      </c>
      <c r="M3" s="10" t="n"/>
      <c r="N3" s="10" t="n"/>
      <c r="O3" s="10">
        <f>IF(OR(N3="",F3=""),"",IF(OR(AND(F3="Up",N3="Long"),AND(F3="Down",N3="Short")),"OK","CHECK"))</f>
        <v/>
      </c>
      <c r="P3" s="10" t="n"/>
      <c r="Q3" s="10" t="n"/>
      <c r="R3" s="10" t="n"/>
      <c r="S3" s="10" t="n"/>
      <c r="T3" s="10" t="n"/>
      <c r="U3" s="10" t="n"/>
      <c r="V3" s="10" t="n"/>
      <c r="W3" s="10" t="n"/>
      <c r="X3" s="12">
        <f>IFERROR(ABS(Q3-R3)/Dashboard!$B$9*Dashboard!$B$10*W3,"")</f>
        <v/>
      </c>
      <c r="Y3" s="13">
        <f>IFERROR(IF(N3="Long",U3-Q3,IF(N3="Short",Q3-U3,"")),"")</f>
        <v/>
      </c>
      <c r="Z3" s="13">
        <f>IFERROR(Y3/Dashboard!$B$9,"")</f>
        <v/>
      </c>
      <c r="AA3" s="12">
        <f>IFERROR(Z3*Dashboard!$B$10*W3,"")</f>
        <v/>
      </c>
      <c r="AB3" s="14">
        <f>IFERROR(AA3/X3,"")</f>
        <v/>
      </c>
      <c r="AC3" s="10">
        <f>IF(AA3="","",IF(AA3&gt;0,1,0))</f>
        <v/>
      </c>
      <c r="AD3" s="12">
        <f>Dashboard!$B$4+IF(AA3="",0,AA3)</f>
        <v/>
      </c>
      <c r="AE3" s="12">
        <f>AD3</f>
        <v/>
      </c>
      <c r="AF3" s="12">
        <f>AE3-AD3</f>
        <v/>
      </c>
      <c r="AG3" s="10" t="n"/>
    </row>
    <row r="4">
      <c r="A4" s="10">
        <f>ROW()-2</f>
        <v/>
      </c>
      <c r="B4" s="10" t="n"/>
      <c r="C4" s="10" t="n"/>
      <c r="D4" s="10" t="n"/>
      <c r="E4" s="10" t="n"/>
      <c r="F4" s="10" t="n"/>
      <c r="G4" s="10" t="n"/>
      <c r="H4" s="10" t="n"/>
      <c r="I4" s="13">
        <f>IFERROR(ABS(H4-G4),"")</f>
        <v/>
      </c>
      <c r="J4" s="10" t="n"/>
      <c r="K4" s="10" t="n"/>
      <c r="L4" s="10">
        <f>IF(K4="","",IF(K4&gt;=Dashboard!$B$11,"A+","B-"))</f>
        <v/>
      </c>
      <c r="M4" s="10" t="n"/>
      <c r="N4" s="10" t="n"/>
      <c r="O4" s="10">
        <f>IF(OR(N4="",F4=""),"",IF(OR(AND(F4="Up",N4="Long"),AND(F4="Down",N4="Short")),"OK","CHECK"))</f>
        <v/>
      </c>
      <c r="P4" s="10" t="n"/>
      <c r="Q4" s="10" t="n"/>
      <c r="R4" s="10" t="n"/>
      <c r="S4" s="10" t="n"/>
      <c r="T4" s="10" t="n"/>
      <c r="U4" s="10" t="n"/>
      <c r="V4" s="10" t="n"/>
      <c r="W4" s="10" t="n"/>
      <c r="X4" s="12">
        <f>IFERROR(ABS(Q4-R4)/Dashboard!$B$9*Dashboard!$B$10*W4,"")</f>
        <v/>
      </c>
      <c r="Y4" s="13">
        <f>IFERROR(IF(N4="Long",U4-Q4,IF(N4="Short",Q4-U4,"")),"")</f>
        <v/>
      </c>
      <c r="Z4" s="13">
        <f>IFERROR(Y4/Dashboard!$B$9,"")</f>
        <v/>
      </c>
      <c r="AA4" s="12">
        <f>IFERROR(Z4*Dashboard!$B$10*W4,"")</f>
        <v/>
      </c>
      <c r="AB4" s="14">
        <f>IFERROR(AA4/X4,"")</f>
        <v/>
      </c>
      <c r="AC4" s="10">
        <f>IF(AA4="","",IF(AA4&gt;0,1,0))</f>
        <v/>
      </c>
      <c r="AD4" s="12">
        <f>AD3+IF(AA4="",0,AA4)</f>
        <v/>
      </c>
      <c r="AE4" s="12">
        <f>MAX(AE3,AD4)</f>
        <v/>
      </c>
      <c r="AF4" s="12">
        <f>AE4-AD4</f>
        <v/>
      </c>
      <c r="AG4" s="10" t="n"/>
    </row>
    <row r="5">
      <c r="A5" s="10">
        <f>ROW()-2</f>
        <v/>
      </c>
      <c r="B5" s="10" t="n"/>
      <c r="C5" s="10" t="n"/>
      <c r="D5" s="10" t="n"/>
      <c r="E5" s="10" t="n"/>
      <c r="F5" s="10" t="n"/>
      <c r="G5" s="10" t="n"/>
      <c r="H5" s="10" t="n"/>
      <c r="I5" s="13">
        <f>IFERROR(ABS(H5-G5),"")</f>
        <v/>
      </c>
      <c r="J5" s="10" t="n"/>
      <c r="K5" s="10" t="n"/>
      <c r="L5" s="10">
        <f>IF(K5="","",IF(K5&gt;=Dashboard!$B$11,"A+","B-"))</f>
        <v/>
      </c>
      <c r="M5" s="10" t="n"/>
      <c r="N5" s="10" t="n"/>
      <c r="O5" s="10">
        <f>IF(OR(N5="",F5=""),"",IF(OR(AND(F5="Up",N5="Long"),AND(F5="Down",N5="Short")),"OK","CHECK"))</f>
        <v/>
      </c>
      <c r="P5" s="10" t="n"/>
      <c r="Q5" s="10" t="n"/>
      <c r="R5" s="10" t="n"/>
      <c r="S5" s="10" t="n"/>
      <c r="T5" s="10" t="n"/>
      <c r="U5" s="10" t="n"/>
      <c r="V5" s="10" t="n"/>
      <c r="W5" s="10" t="n"/>
      <c r="X5" s="12">
        <f>IFERROR(ABS(Q5-R5)/Dashboard!$B$9*Dashboard!$B$10*W5,"")</f>
        <v/>
      </c>
      <c r="Y5" s="13">
        <f>IFERROR(IF(N5="Long",U5-Q5,IF(N5="Short",Q5-U5,"")),"")</f>
        <v/>
      </c>
      <c r="Z5" s="13">
        <f>IFERROR(Y5/Dashboard!$B$9,"")</f>
        <v/>
      </c>
      <c r="AA5" s="12">
        <f>IFERROR(Z5*Dashboard!$B$10*W5,"")</f>
        <v/>
      </c>
      <c r="AB5" s="14">
        <f>IFERROR(AA5/X5,"")</f>
        <v/>
      </c>
      <c r="AC5" s="10">
        <f>IF(AA5="","",IF(AA5&gt;0,1,0))</f>
        <v/>
      </c>
      <c r="AD5" s="12">
        <f>AD4+IF(AA5="",0,AA5)</f>
        <v/>
      </c>
      <c r="AE5" s="12">
        <f>MAX(AE4,AD5)</f>
        <v/>
      </c>
      <c r="AF5" s="12">
        <f>AE5-AD5</f>
        <v/>
      </c>
      <c r="AG5" s="10" t="n"/>
    </row>
    <row r="6">
      <c r="A6" s="10">
        <f>ROW()-2</f>
        <v/>
      </c>
      <c r="B6" s="10" t="n"/>
      <c r="C6" s="10" t="n"/>
      <c r="D6" s="10" t="n"/>
      <c r="E6" s="10" t="n"/>
      <c r="F6" s="10" t="n"/>
      <c r="G6" s="10" t="n"/>
      <c r="H6" s="10" t="n"/>
      <c r="I6" s="13">
        <f>IFERROR(ABS(H6-G6),"")</f>
        <v/>
      </c>
      <c r="J6" s="10" t="n"/>
      <c r="K6" s="10" t="n"/>
      <c r="L6" s="10">
        <f>IF(K6="","",IF(K6&gt;=Dashboard!$B$11,"A+","B-"))</f>
        <v/>
      </c>
      <c r="M6" s="10" t="n"/>
      <c r="N6" s="10" t="n"/>
      <c r="O6" s="10">
        <f>IF(OR(N6="",F6=""),"",IF(OR(AND(F6="Up",N6="Long"),AND(F6="Down",N6="Short")),"OK","CHECK"))</f>
        <v/>
      </c>
      <c r="P6" s="10" t="n"/>
      <c r="Q6" s="10" t="n"/>
      <c r="R6" s="10" t="n"/>
      <c r="S6" s="10" t="n"/>
      <c r="T6" s="10" t="n"/>
      <c r="U6" s="10" t="n"/>
      <c r="V6" s="10" t="n"/>
      <c r="W6" s="10" t="n"/>
      <c r="X6" s="12">
        <f>IFERROR(ABS(Q6-R6)/Dashboard!$B$9*Dashboard!$B$10*W6,"")</f>
        <v/>
      </c>
      <c r="Y6" s="13">
        <f>IFERROR(IF(N6="Long",U6-Q6,IF(N6="Short",Q6-U6,"")),"")</f>
        <v/>
      </c>
      <c r="Z6" s="13">
        <f>IFERROR(Y6/Dashboard!$B$9,"")</f>
        <v/>
      </c>
      <c r="AA6" s="12">
        <f>IFERROR(Z6*Dashboard!$B$10*W6,"")</f>
        <v/>
      </c>
      <c r="AB6" s="14">
        <f>IFERROR(AA6/X6,"")</f>
        <v/>
      </c>
      <c r="AC6" s="10">
        <f>IF(AA6="","",IF(AA6&gt;0,1,0))</f>
        <v/>
      </c>
      <c r="AD6" s="12">
        <f>AD5+IF(AA6="",0,AA6)</f>
        <v/>
      </c>
      <c r="AE6" s="12">
        <f>MAX(AE5,AD6)</f>
        <v/>
      </c>
      <c r="AF6" s="12">
        <f>AE6-AD6</f>
        <v/>
      </c>
      <c r="AG6" s="10" t="n"/>
    </row>
    <row r="7">
      <c r="A7" s="10">
        <f>ROW()-2</f>
        <v/>
      </c>
      <c r="B7" s="10" t="n"/>
      <c r="C7" s="10" t="n"/>
      <c r="D7" s="10" t="n"/>
      <c r="E7" s="10" t="n"/>
      <c r="F7" s="10" t="n"/>
      <c r="G7" s="10" t="n"/>
      <c r="H7" s="10" t="n"/>
      <c r="I7" s="13">
        <f>IFERROR(ABS(H7-G7),"")</f>
        <v/>
      </c>
      <c r="J7" s="10" t="n"/>
      <c r="K7" s="10" t="n"/>
      <c r="L7" s="10">
        <f>IF(K7="","",IF(K7&gt;=Dashboard!$B$11,"A+","B-"))</f>
        <v/>
      </c>
      <c r="M7" s="10" t="n"/>
      <c r="N7" s="10" t="n"/>
      <c r="O7" s="10">
        <f>IF(OR(N7="",F7=""),"",IF(OR(AND(F7="Up",N7="Long"),AND(F7="Down",N7="Short")),"OK","CHECK"))</f>
        <v/>
      </c>
      <c r="P7" s="10" t="n"/>
      <c r="Q7" s="10" t="n"/>
      <c r="R7" s="10" t="n"/>
      <c r="S7" s="10" t="n"/>
      <c r="T7" s="10" t="n"/>
      <c r="U7" s="10" t="n"/>
      <c r="V7" s="10" t="n"/>
      <c r="W7" s="10" t="n"/>
      <c r="X7" s="12">
        <f>IFERROR(ABS(Q7-R7)/Dashboard!$B$9*Dashboard!$B$10*W7,"")</f>
        <v/>
      </c>
      <c r="Y7" s="13">
        <f>IFERROR(IF(N7="Long",U7-Q7,IF(N7="Short",Q7-U7,"")),"")</f>
        <v/>
      </c>
      <c r="Z7" s="13">
        <f>IFERROR(Y7/Dashboard!$B$9,"")</f>
        <v/>
      </c>
      <c r="AA7" s="12">
        <f>IFERROR(Z7*Dashboard!$B$10*W7,"")</f>
        <v/>
      </c>
      <c r="AB7" s="14">
        <f>IFERROR(AA7/X7,"")</f>
        <v/>
      </c>
      <c r="AC7" s="10">
        <f>IF(AA7="","",IF(AA7&gt;0,1,0))</f>
        <v/>
      </c>
      <c r="AD7" s="12">
        <f>AD6+IF(AA7="",0,AA7)</f>
        <v/>
      </c>
      <c r="AE7" s="12">
        <f>MAX(AE6,AD7)</f>
        <v/>
      </c>
      <c r="AF7" s="12">
        <f>AE7-AD7</f>
        <v/>
      </c>
      <c r="AG7" s="10" t="n"/>
    </row>
    <row r="8">
      <c r="A8" s="10">
        <f>ROW()-2</f>
        <v/>
      </c>
      <c r="B8" s="10" t="n"/>
      <c r="C8" s="10" t="n"/>
      <c r="D8" s="10" t="n"/>
      <c r="E8" s="10" t="n"/>
      <c r="F8" s="10" t="n"/>
      <c r="G8" s="10" t="n"/>
      <c r="H8" s="10" t="n"/>
      <c r="I8" s="13">
        <f>IFERROR(ABS(H8-G8),"")</f>
        <v/>
      </c>
      <c r="J8" s="10" t="n"/>
      <c r="K8" s="10" t="n"/>
      <c r="L8" s="10">
        <f>IF(K8="","",IF(K8&gt;=Dashboard!$B$11,"A+","B-"))</f>
        <v/>
      </c>
      <c r="M8" s="10" t="n"/>
      <c r="N8" s="10" t="n"/>
      <c r="O8" s="10">
        <f>IF(OR(N8="",F8=""),"",IF(OR(AND(F8="Up",N8="Long"),AND(F8="Down",N8="Short")),"OK","CHECK"))</f>
        <v/>
      </c>
      <c r="P8" s="10" t="n"/>
      <c r="Q8" s="10" t="n"/>
      <c r="R8" s="10" t="n"/>
      <c r="S8" s="10" t="n"/>
      <c r="T8" s="10" t="n"/>
      <c r="U8" s="10" t="n"/>
      <c r="V8" s="10" t="n"/>
      <c r="W8" s="10" t="n"/>
      <c r="X8" s="12">
        <f>IFERROR(ABS(Q8-R8)/Dashboard!$B$9*Dashboard!$B$10*W8,"")</f>
        <v/>
      </c>
      <c r="Y8" s="13">
        <f>IFERROR(IF(N8="Long",U8-Q8,IF(N8="Short",Q8-U8,"")),"")</f>
        <v/>
      </c>
      <c r="Z8" s="13">
        <f>IFERROR(Y8/Dashboard!$B$9,"")</f>
        <v/>
      </c>
      <c r="AA8" s="12">
        <f>IFERROR(Z8*Dashboard!$B$10*W8,"")</f>
        <v/>
      </c>
      <c r="AB8" s="14">
        <f>IFERROR(AA8/X8,"")</f>
        <v/>
      </c>
      <c r="AC8" s="10">
        <f>IF(AA8="","",IF(AA8&gt;0,1,0))</f>
        <v/>
      </c>
      <c r="AD8" s="12">
        <f>AD7+IF(AA8="",0,AA8)</f>
        <v/>
      </c>
      <c r="AE8" s="12">
        <f>MAX(AE7,AD8)</f>
        <v/>
      </c>
      <c r="AF8" s="12">
        <f>AE8-AD8</f>
        <v/>
      </c>
      <c r="AG8" s="10" t="n"/>
    </row>
    <row r="9">
      <c r="A9" s="10">
        <f>ROW()-2</f>
        <v/>
      </c>
      <c r="B9" s="10" t="n"/>
      <c r="C9" s="10" t="n"/>
      <c r="D9" s="10" t="n"/>
      <c r="E9" s="10" t="n"/>
      <c r="F9" s="10" t="n"/>
      <c r="G9" s="10" t="n"/>
      <c r="H9" s="10" t="n"/>
      <c r="I9" s="13">
        <f>IFERROR(ABS(H9-G9),"")</f>
        <v/>
      </c>
      <c r="J9" s="10" t="n"/>
      <c r="K9" s="10" t="n"/>
      <c r="L9" s="10">
        <f>IF(K9="","",IF(K9&gt;=Dashboard!$B$11,"A+","B-"))</f>
        <v/>
      </c>
      <c r="M9" s="10" t="n"/>
      <c r="N9" s="10" t="n"/>
      <c r="O9" s="10">
        <f>IF(OR(N9="",F9=""),"",IF(OR(AND(F9="Up",N9="Long"),AND(F9="Down",N9="Short")),"OK","CHECK"))</f>
        <v/>
      </c>
      <c r="P9" s="10" t="n"/>
      <c r="Q9" s="10" t="n"/>
      <c r="R9" s="10" t="n"/>
      <c r="S9" s="10" t="n"/>
      <c r="T9" s="10" t="n"/>
      <c r="U9" s="10" t="n"/>
      <c r="V9" s="10" t="n"/>
      <c r="W9" s="10" t="n"/>
      <c r="X9" s="12">
        <f>IFERROR(ABS(Q9-R9)/Dashboard!$B$9*Dashboard!$B$10*W9,"")</f>
        <v/>
      </c>
      <c r="Y9" s="13">
        <f>IFERROR(IF(N9="Long",U9-Q9,IF(N9="Short",Q9-U9,"")),"")</f>
        <v/>
      </c>
      <c r="Z9" s="13">
        <f>IFERROR(Y9/Dashboard!$B$9,"")</f>
        <v/>
      </c>
      <c r="AA9" s="12">
        <f>IFERROR(Z9*Dashboard!$B$10*W9,"")</f>
        <v/>
      </c>
      <c r="AB9" s="14">
        <f>IFERROR(AA9/X9,"")</f>
        <v/>
      </c>
      <c r="AC9" s="10">
        <f>IF(AA9="","",IF(AA9&gt;0,1,0))</f>
        <v/>
      </c>
      <c r="AD9" s="12">
        <f>AD8+IF(AA9="",0,AA9)</f>
        <v/>
      </c>
      <c r="AE9" s="12">
        <f>MAX(AE8,AD9)</f>
        <v/>
      </c>
      <c r="AF9" s="12">
        <f>AE9-AD9</f>
        <v/>
      </c>
      <c r="AG9" s="10" t="n"/>
    </row>
    <row r="10">
      <c r="A10" s="10">
        <f>ROW()-2</f>
        <v/>
      </c>
      <c r="B10" s="10" t="n"/>
      <c r="C10" s="10" t="n"/>
      <c r="D10" s="10" t="n"/>
      <c r="E10" s="10" t="n"/>
      <c r="F10" s="10" t="n"/>
      <c r="G10" s="10" t="n"/>
      <c r="H10" s="10" t="n"/>
      <c r="I10" s="13">
        <f>IFERROR(ABS(H10-G10),"")</f>
        <v/>
      </c>
      <c r="J10" s="10" t="n"/>
      <c r="K10" s="10" t="n"/>
      <c r="L10" s="10">
        <f>IF(K10="","",IF(K10&gt;=Dashboard!$B$11,"A+","B-"))</f>
        <v/>
      </c>
      <c r="M10" s="10" t="n"/>
      <c r="N10" s="10" t="n"/>
      <c r="O10" s="10">
        <f>IF(OR(N10="",F10=""),"",IF(OR(AND(F10="Up",N10="Long"),AND(F10="Down",N10="Short")),"OK","CHECK"))</f>
        <v/>
      </c>
      <c r="P10" s="10" t="n"/>
      <c r="Q10" s="10" t="n"/>
      <c r="R10" s="10" t="n"/>
      <c r="S10" s="10" t="n"/>
      <c r="T10" s="10" t="n"/>
      <c r="U10" s="10" t="n"/>
      <c r="V10" s="10" t="n"/>
      <c r="W10" s="10" t="n"/>
      <c r="X10" s="12">
        <f>IFERROR(ABS(Q10-R10)/Dashboard!$B$9*Dashboard!$B$10*W10,"")</f>
        <v/>
      </c>
      <c r="Y10" s="13">
        <f>IFERROR(IF(N10="Long",U10-Q10,IF(N10="Short",Q10-U10,"")),"")</f>
        <v/>
      </c>
      <c r="Z10" s="13">
        <f>IFERROR(Y10/Dashboard!$B$9,"")</f>
        <v/>
      </c>
      <c r="AA10" s="12">
        <f>IFERROR(Z10*Dashboard!$B$10*W10,"")</f>
        <v/>
      </c>
      <c r="AB10" s="14">
        <f>IFERROR(AA10/X10,"")</f>
        <v/>
      </c>
      <c r="AC10" s="10">
        <f>IF(AA10="","",IF(AA10&gt;0,1,0))</f>
        <v/>
      </c>
      <c r="AD10" s="12">
        <f>AD9+IF(AA10="",0,AA10)</f>
        <v/>
      </c>
      <c r="AE10" s="12">
        <f>MAX(AE9,AD10)</f>
        <v/>
      </c>
      <c r="AF10" s="12">
        <f>AE10-AD10</f>
        <v/>
      </c>
      <c r="AG10" s="10" t="n"/>
    </row>
    <row r="11">
      <c r="A11" s="10">
        <f>ROW()-2</f>
        <v/>
      </c>
      <c r="B11" s="10" t="n"/>
      <c r="C11" s="10" t="n"/>
      <c r="D11" s="10" t="n"/>
      <c r="E11" s="10" t="n"/>
      <c r="F11" s="10" t="n"/>
      <c r="G11" s="10" t="n"/>
      <c r="H11" s="10" t="n"/>
      <c r="I11" s="13">
        <f>IFERROR(ABS(H11-G11),"")</f>
        <v/>
      </c>
      <c r="J11" s="10" t="n"/>
      <c r="K11" s="10" t="n"/>
      <c r="L11" s="10">
        <f>IF(K11="","",IF(K11&gt;=Dashboard!$B$11,"A+","B-"))</f>
        <v/>
      </c>
      <c r="M11" s="10" t="n"/>
      <c r="N11" s="10" t="n"/>
      <c r="O11" s="10">
        <f>IF(OR(N11="",F11=""),"",IF(OR(AND(F11="Up",N11="Long"),AND(F11="Down",N11="Short")),"OK","CHECK"))</f>
        <v/>
      </c>
      <c r="P11" s="10" t="n"/>
      <c r="Q11" s="10" t="n"/>
      <c r="R11" s="10" t="n"/>
      <c r="S11" s="10" t="n"/>
      <c r="T11" s="10" t="n"/>
      <c r="U11" s="10" t="n"/>
      <c r="V11" s="10" t="n"/>
      <c r="W11" s="10" t="n"/>
      <c r="X11" s="12">
        <f>IFERROR(ABS(Q11-R11)/Dashboard!$B$9*Dashboard!$B$10*W11,"")</f>
        <v/>
      </c>
      <c r="Y11" s="13">
        <f>IFERROR(IF(N11="Long",U11-Q11,IF(N11="Short",Q11-U11,"")),"")</f>
        <v/>
      </c>
      <c r="Z11" s="13">
        <f>IFERROR(Y11/Dashboard!$B$9,"")</f>
        <v/>
      </c>
      <c r="AA11" s="12">
        <f>IFERROR(Z11*Dashboard!$B$10*W11,"")</f>
        <v/>
      </c>
      <c r="AB11" s="14">
        <f>IFERROR(AA11/X11,"")</f>
        <v/>
      </c>
      <c r="AC11" s="10">
        <f>IF(AA11="","",IF(AA11&gt;0,1,0))</f>
        <v/>
      </c>
      <c r="AD11" s="12">
        <f>AD10+IF(AA11="",0,AA11)</f>
        <v/>
      </c>
      <c r="AE11" s="12">
        <f>MAX(AE10,AD11)</f>
        <v/>
      </c>
      <c r="AF11" s="12">
        <f>AE11-AD11</f>
        <v/>
      </c>
      <c r="AG11" s="10" t="n"/>
    </row>
    <row r="12">
      <c r="A12" s="10">
        <f>ROW()-2</f>
        <v/>
      </c>
      <c r="B12" s="10" t="n"/>
      <c r="C12" s="10" t="n"/>
      <c r="D12" s="10" t="n"/>
      <c r="E12" s="10" t="n"/>
      <c r="F12" s="10" t="n"/>
      <c r="G12" s="10" t="n"/>
      <c r="H12" s="10" t="n"/>
      <c r="I12" s="13">
        <f>IFERROR(ABS(H12-G12),"")</f>
        <v/>
      </c>
      <c r="J12" s="10" t="n"/>
      <c r="K12" s="10" t="n"/>
      <c r="L12" s="10">
        <f>IF(K12="","",IF(K12&gt;=Dashboard!$B$11,"A+","B-"))</f>
        <v/>
      </c>
      <c r="M12" s="10" t="n"/>
      <c r="N12" s="10" t="n"/>
      <c r="O12" s="10">
        <f>IF(OR(N12="",F12=""),"",IF(OR(AND(F12="Up",N12="Long"),AND(F12="Down",N12="Short")),"OK","CHECK"))</f>
        <v/>
      </c>
      <c r="P12" s="10" t="n"/>
      <c r="Q12" s="10" t="n"/>
      <c r="R12" s="10" t="n"/>
      <c r="S12" s="10" t="n"/>
      <c r="T12" s="10" t="n"/>
      <c r="U12" s="10" t="n"/>
      <c r="V12" s="10" t="n"/>
      <c r="W12" s="10" t="n"/>
      <c r="X12" s="12">
        <f>IFERROR(ABS(Q12-R12)/Dashboard!$B$9*Dashboard!$B$10*W12,"")</f>
        <v/>
      </c>
      <c r="Y12" s="13">
        <f>IFERROR(IF(N12="Long",U12-Q12,IF(N12="Short",Q12-U12,"")),"")</f>
        <v/>
      </c>
      <c r="Z12" s="13">
        <f>IFERROR(Y12/Dashboard!$B$9,"")</f>
        <v/>
      </c>
      <c r="AA12" s="12">
        <f>IFERROR(Z12*Dashboard!$B$10*W12,"")</f>
        <v/>
      </c>
      <c r="AB12" s="14">
        <f>IFERROR(AA12/X12,"")</f>
        <v/>
      </c>
      <c r="AC12" s="10">
        <f>IF(AA12="","",IF(AA12&gt;0,1,0))</f>
        <v/>
      </c>
      <c r="AD12" s="12">
        <f>AD11+IF(AA12="",0,AA12)</f>
        <v/>
      </c>
      <c r="AE12" s="12">
        <f>MAX(AE11,AD12)</f>
        <v/>
      </c>
      <c r="AF12" s="12">
        <f>AE12-AD12</f>
        <v/>
      </c>
      <c r="AG12" s="10" t="n"/>
    </row>
    <row r="13">
      <c r="A13" s="10">
        <f>ROW()-2</f>
        <v/>
      </c>
      <c r="B13" s="10" t="n"/>
      <c r="C13" s="10" t="n"/>
      <c r="D13" s="10" t="n"/>
      <c r="E13" s="10" t="n"/>
      <c r="F13" s="10" t="n"/>
      <c r="G13" s="10" t="n"/>
      <c r="H13" s="10" t="n"/>
      <c r="I13" s="13">
        <f>IFERROR(ABS(H13-G13),"")</f>
        <v/>
      </c>
      <c r="J13" s="10" t="n"/>
      <c r="K13" s="10" t="n"/>
      <c r="L13" s="10">
        <f>IF(K13="","",IF(K13&gt;=Dashboard!$B$11,"A+","B-"))</f>
        <v/>
      </c>
      <c r="M13" s="10" t="n"/>
      <c r="N13" s="10" t="n"/>
      <c r="O13" s="10">
        <f>IF(OR(N13="",F13=""),"",IF(OR(AND(F13="Up",N13="Long"),AND(F13="Down",N13="Short")),"OK","CHECK"))</f>
        <v/>
      </c>
      <c r="P13" s="10" t="n"/>
      <c r="Q13" s="10" t="n"/>
      <c r="R13" s="10" t="n"/>
      <c r="S13" s="10" t="n"/>
      <c r="T13" s="10" t="n"/>
      <c r="U13" s="10" t="n"/>
      <c r="V13" s="10" t="n"/>
      <c r="W13" s="10" t="n"/>
      <c r="X13" s="12">
        <f>IFERROR(ABS(Q13-R13)/Dashboard!$B$9*Dashboard!$B$10*W13,"")</f>
        <v/>
      </c>
      <c r="Y13" s="13">
        <f>IFERROR(IF(N13="Long",U13-Q13,IF(N13="Short",Q13-U13,"")),"")</f>
        <v/>
      </c>
      <c r="Z13" s="13">
        <f>IFERROR(Y13/Dashboard!$B$9,"")</f>
        <v/>
      </c>
      <c r="AA13" s="12">
        <f>IFERROR(Z13*Dashboard!$B$10*W13,"")</f>
        <v/>
      </c>
      <c r="AB13" s="14">
        <f>IFERROR(AA13/X13,"")</f>
        <v/>
      </c>
      <c r="AC13" s="10">
        <f>IF(AA13="","",IF(AA13&gt;0,1,0))</f>
        <v/>
      </c>
      <c r="AD13" s="12">
        <f>AD12+IF(AA13="",0,AA13)</f>
        <v/>
      </c>
      <c r="AE13" s="12">
        <f>MAX(AE12,AD13)</f>
        <v/>
      </c>
      <c r="AF13" s="12">
        <f>AE13-AD13</f>
        <v/>
      </c>
      <c r="AG13" s="10" t="n"/>
    </row>
    <row r="14">
      <c r="A14" s="10">
        <f>ROW()-2</f>
        <v/>
      </c>
      <c r="B14" s="10" t="n"/>
      <c r="C14" s="10" t="n"/>
      <c r="D14" s="10" t="n"/>
      <c r="E14" s="10" t="n"/>
      <c r="F14" s="10" t="n"/>
      <c r="G14" s="10" t="n"/>
      <c r="H14" s="10" t="n"/>
      <c r="I14" s="13">
        <f>IFERROR(ABS(H14-G14),"")</f>
        <v/>
      </c>
      <c r="J14" s="10" t="n"/>
      <c r="K14" s="10" t="n"/>
      <c r="L14" s="10">
        <f>IF(K14="","",IF(K14&gt;=Dashboard!$B$11,"A+","B-"))</f>
        <v/>
      </c>
      <c r="M14" s="10" t="n"/>
      <c r="N14" s="10" t="n"/>
      <c r="O14" s="10">
        <f>IF(OR(N14="",F14=""),"",IF(OR(AND(F14="Up",N14="Long"),AND(F14="Down",N14="Short")),"OK","CHECK"))</f>
        <v/>
      </c>
      <c r="P14" s="10" t="n"/>
      <c r="Q14" s="10" t="n"/>
      <c r="R14" s="10" t="n"/>
      <c r="S14" s="10" t="n"/>
      <c r="T14" s="10" t="n"/>
      <c r="U14" s="10" t="n"/>
      <c r="V14" s="10" t="n"/>
      <c r="W14" s="10" t="n"/>
      <c r="X14" s="12">
        <f>IFERROR(ABS(Q14-R14)/Dashboard!$B$9*Dashboard!$B$10*W14,"")</f>
        <v/>
      </c>
      <c r="Y14" s="13">
        <f>IFERROR(IF(N14="Long",U14-Q14,IF(N14="Short",Q14-U14,"")),"")</f>
        <v/>
      </c>
      <c r="Z14" s="13">
        <f>IFERROR(Y14/Dashboard!$B$9,"")</f>
        <v/>
      </c>
      <c r="AA14" s="12">
        <f>IFERROR(Z14*Dashboard!$B$10*W14,"")</f>
        <v/>
      </c>
      <c r="AB14" s="14">
        <f>IFERROR(AA14/X14,"")</f>
        <v/>
      </c>
      <c r="AC14" s="10">
        <f>IF(AA14="","",IF(AA14&gt;0,1,0))</f>
        <v/>
      </c>
      <c r="AD14" s="12">
        <f>AD13+IF(AA14="",0,AA14)</f>
        <v/>
      </c>
      <c r="AE14" s="12">
        <f>MAX(AE13,AD14)</f>
        <v/>
      </c>
      <c r="AF14" s="12">
        <f>AE14-AD14</f>
        <v/>
      </c>
      <c r="AG14" s="10" t="n"/>
    </row>
    <row r="15">
      <c r="A15" s="10">
        <f>ROW()-2</f>
        <v/>
      </c>
      <c r="B15" s="10" t="n"/>
      <c r="C15" s="10" t="n"/>
      <c r="D15" s="10" t="n"/>
      <c r="E15" s="10" t="n"/>
      <c r="F15" s="10" t="n"/>
      <c r="G15" s="10" t="n"/>
      <c r="H15" s="10" t="n"/>
      <c r="I15" s="13">
        <f>IFERROR(ABS(H15-G15),"")</f>
        <v/>
      </c>
      <c r="J15" s="10" t="n"/>
      <c r="K15" s="10" t="n"/>
      <c r="L15" s="10">
        <f>IF(K15="","",IF(K15&gt;=Dashboard!$B$11,"A+","B-"))</f>
        <v/>
      </c>
      <c r="M15" s="10" t="n"/>
      <c r="N15" s="10" t="n"/>
      <c r="O15" s="10">
        <f>IF(OR(N15="",F15=""),"",IF(OR(AND(F15="Up",N15="Long"),AND(F15="Down",N15="Short")),"OK","CHECK"))</f>
        <v/>
      </c>
      <c r="P15" s="10" t="n"/>
      <c r="Q15" s="10" t="n"/>
      <c r="R15" s="10" t="n"/>
      <c r="S15" s="10" t="n"/>
      <c r="T15" s="10" t="n"/>
      <c r="U15" s="10" t="n"/>
      <c r="V15" s="10" t="n"/>
      <c r="W15" s="10" t="n"/>
      <c r="X15" s="12">
        <f>IFERROR(ABS(Q15-R15)/Dashboard!$B$9*Dashboard!$B$10*W15,"")</f>
        <v/>
      </c>
      <c r="Y15" s="13">
        <f>IFERROR(IF(N15="Long",U15-Q15,IF(N15="Short",Q15-U15,"")),"")</f>
        <v/>
      </c>
      <c r="Z15" s="13">
        <f>IFERROR(Y15/Dashboard!$B$9,"")</f>
        <v/>
      </c>
      <c r="AA15" s="12">
        <f>IFERROR(Z15*Dashboard!$B$10*W15,"")</f>
        <v/>
      </c>
      <c r="AB15" s="14">
        <f>IFERROR(AA15/X15,"")</f>
        <v/>
      </c>
      <c r="AC15" s="10">
        <f>IF(AA15="","",IF(AA15&gt;0,1,0))</f>
        <v/>
      </c>
      <c r="AD15" s="12">
        <f>AD14+IF(AA15="",0,AA15)</f>
        <v/>
      </c>
      <c r="AE15" s="12">
        <f>MAX(AE14,AD15)</f>
        <v/>
      </c>
      <c r="AF15" s="12">
        <f>AE15-AD15</f>
        <v/>
      </c>
      <c r="AG15" s="10" t="n"/>
    </row>
    <row r="16">
      <c r="A16" s="10">
        <f>ROW()-2</f>
        <v/>
      </c>
      <c r="B16" s="10" t="n"/>
      <c r="C16" s="10" t="n"/>
      <c r="D16" s="10" t="n"/>
      <c r="E16" s="10" t="n"/>
      <c r="F16" s="10" t="n"/>
      <c r="G16" s="10" t="n"/>
      <c r="H16" s="10" t="n"/>
      <c r="I16" s="13">
        <f>IFERROR(ABS(H16-G16),"")</f>
        <v/>
      </c>
      <c r="J16" s="10" t="n"/>
      <c r="K16" s="10" t="n"/>
      <c r="L16" s="10">
        <f>IF(K16="","",IF(K16&gt;=Dashboard!$B$11,"A+","B-"))</f>
        <v/>
      </c>
      <c r="M16" s="10" t="n"/>
      <c r="N16" s="10" t="n"/>
      <c r="O16" s="10">
        <f>IF(OR(N16="",F16=""),"",IF(OR(AND(F16="Up",N16="Long"),AND(F16="Down",N16="Short")),"OK","CHECK"))</f>
        <v/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2">
        <f>IFERROR(ABS(Q16-R16)/Dashboard!$B$9*Dashboard!$B$10*W16,"")</f>
        <v/>
      </c>
      <c r="Y16" s="13">
        <f>IFERROR(IF(N16="Long",U16-Q16,IF(N16="Short",Q16-U16,"")),"")</f>
        <v/>
      </c>
      <c r="Z16" s="13">
        <f>IFERROR(Y16/Dashboard!$B$9,"")</f>
        <v/>
      </c>
      <c r="AA16" s="12">
        <f>IFERROR(Z16*Dashboard!$B$10*W16,"")</f>
        <v/>
      </c>
      <c r="AB16" s="14">
        <f>IFERROR(AA16/X16,"")</f>
        <v/>
      </c>
      <c r="AC16" s="10">
        <f>IF(AA16="","",IF(AA16&gt;0,1,0))</f>
        <v/>
      </c>
      <c r="AD16" s="12">
        <f>AD15+IF(AA16="",0,AA16)</f>
        <v/>
      </c>
      <c r="AE16" s="12">
        <f>MAX(AE15,AD16)</f>
        <v/>
      </c>
      <c r="AF16" s="12">
        <f>AE16-AD16</f>
        <v/>
      </c>
      <c r="AG16" s="10" t="n"/>
    </row>
    <row r="17">
      <c r="A17" s="10">
        <f>ROW()-2</f>
        <v/>
      </c>
      <c r="B17" s="10" t="n"/>
      <c r="C17" s="10" t="n"/>
      <c r="D17" s="10" t="n"/>
      <c r="E17" s="10" t="n"/>
      <c r="F17" s="10" t="n"/>
      <c r="G17" s="10" t="n"/>
      <c r="H17" s="10" t="n"/>
      <c r="I17" s="13">
        <f>IFERROR(ABS(H17-G17),"")</f>
        <v/>
      </c>
      <c r="J17" s="10" t="n"/>
      <c r="K17" s="10" t="n"/>
      <c r="L17" s="10">
        <f>IF(K17="","",IF(K17&gt;=Dashboard!$B$11,"A+","B-"))</f>
        <v/>
      </c>
      <c r="M17" s="10" t="n"/>
      <c r="N17" s="10" t="n"/>
      <c r="O17" s="10">
        <f>IF(OR(N17="",F17=""),"",IF(OR(AND(F17="Up",N17="Long"),AND(F17="Down",N17="Short")),"OK","CHECK"))</f>
        <v/>
      </c>
      <c r="P17" s="10" t="n"/>
      <c r="Q17" s="10" t="n"/>
      <c r="R17" s="10" t="n"/>
      <c r="S17" s="10" t="n"/>
      <c r="T17" s="10" t="n"/>
      <c r="U17" s="10" t="n"/>
      <c r="V17" s="10" t="n"/>
      <c r="W17" s="10" t="n"/>
      <c r="X17" s="12">
        <f>IFERROR(ABS(Q17-R17)/Dashboard!$B$9*Dashboard!$B$10*W17,"")</f>
        <v/>
      </c>
      <c r="Y17" s="13">
        <f>IFERROR(IF(N17="Long",U17-Q17,IF(N17="Short",Q17-U17,"")),"")</f>
        <v/>
      </c>
      <c r="Z17" s="13">
        <f>IFERROR(Y17/Dashboard!$B$9,"")</f>
        <v/>
      </c>
      <c r="AA17" s="12">
        <f>IFERROR(Z17*Dashboard!$B$10*W17,"")</f>
        <v/>
      </c>
      <c r="AB17" s="14">
        <f>IFERROR(AA17/X17,"")</f>
        <v/>
      </c>
      <c r="AC17" s="10">
        <f>IF(AA17="","",IF(AA17&gt;0,1,0))</f>
        <v/>
      </c>
      <c r="AD17" s="12">
        <f>AD16+IF(AA17="",0,AA17)</f>
        <v/>
      </c>
      <c r="AE17" s="12">
        <f>MAX(AE16,AD17)</f>
        <v/>
      </c>
      <c r="AF17" s="12">
        <f>AE17-AD17</f>
        <v/>
      </c>
      <c r="AG17" s="10" t="n"/>
    </row>
    <row r="18">
      <c r="A18" s="10">
        <f>ROW()-2</f>
        <v/>
      </c>
      <c r="B18" s="10" t="n"/>
      <c r="C18" s="10" t="n"/>
      <c r="D18" s="10" t="n"/>
      <c r="E18" s="10" t="n"/>
      <c r="F18" s="10" t="n"/>
      <c r="G18" s="10" t="n"/>
      <c r="H18" s="10" t="n"/>
      <c r="I18" s="13">
        <f>IFERROR(ABS(H18-G18),"")</f>
        <v/>
      </c>
      <c r="J18" s="10" t="n"/>
      <c r="K18" s="10" t="n"/>
      <c r="L18" s="10">
        <f>IF(K18="","",IF(K18&gt;=Dashboard!$B$11,"A+","B-"))</f>
        <v/>
      </c>
      <c r="M18" s="10" t="n"/>
      <c r="N18" s="10" t="n"/>
      <c r="O18" s="10">
        <f>IF(OR(N18="",F18=""),"",IF(OR(AND(F18="Up",N18="Long"),AND(F18="Down",N18="Short")),"OK","CHECK"))</f>
        <v/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2">
        <f>IFERROR(ABS(Q18-R18)/Dashboard!$B$9*Dashboard!$B$10*W18,"")</f>
        <v/>
      </c>
      <c r="Y18" s="13">
        <f>IFERROR(IF(N18="Long",U18-Q18,IF(N18="Short",Q18-U18,"")),"")</f>
        <v/>
      </c>
      <c r="Z18" s="13">
        <f>IFERROR(Y18/Dashboard!$B$9,"")</f>
        <v/>
      </c>
      <c r="AA18" s="12">
        <f>IFERROR(Z18*Dashboard!$B$10*W18,"")</f>
        <v/>
      </c>
      <c r="AB18" s="14">
        <f>IFERROR(AA18/X18,"")</f>
        <v/>
      </c>
      <c r="AC18" s="10">
        <f>IF(AA18="","",IF(AA18&gt;0,1,0))</f>
        <v/>
      </c>
      <c r="AD18" s="12">
        <f>AD17+IF(AA18="",0,AA18)</f>
        <v/>
      </c>
      <c r="AE18" s="12">
        <f>MAX(AE17,AD18)</f>
        <v/>
      </c>
      <c r="AF18" s="12">
        <f>AE18-AD18</f>
        <v/>
      </c>
      <c r="AG18" s="10" t="n"/>
    </row>
    <row r="19">
      <c r="A19" s="10">
        <f>ROW()-2</f>
        <v/>
      </c>
      <c r="B19" s="10" t="n"/>
      <c r="C19" s="10" t="n"/>
      <c r="D19" s="10" t="n"/>
      <c r="E19" s="10" t="n"/>
      <c r="F19" s="10" t="n"/>
      <c r="G19" s="10" t="n"/>
      <c r="H19" s="10" t="n"/>
      <c r="I19" s="13">
        <f>IFERROR(ABS(H19-G19),"")</f>
        <v/>
      </c>
      <c r="J19" s="10" t="n"/>
      <c r="K19" s="10" t="n"/>
      <c r="L19" s="10">
        <f>IF(K19="","",IF(K19&gt;=Dashboard!$B$11,"A+","B-"))</f>
        <v/>
      </c>
      <c r="M19" s="10" t="n"/>
      <c r="N19" s="10" t="n"/>
      <c r="O19" s="10">
        <f>IF(OR(N19="",F19=""),"",IF(OR(AND(F19="Up",N19="Long"),AND(F19="Down",N19="Short")),"OK","CHECK"))</f>
        <v/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2">
        <f>IFERROR(ABS(Q19-R19)/Dashboard!$B$9*Dashboard!$B$10*W19,"")</f>
        <v/>
      </c>
      <c r="Y19" s="13">
        <f>IFERROR(IF(N19="Long",U19-Q19,IF(N19="Short",Q19-U19,"")),"")</f>
        <v/>
      </c>
      <c r="Z19" s="13">
        <f>IFERROR(Y19/Dashboard!$B$9,"")</f>
        <v/>
      </c>
      <c r="AA19" s="12">
        <f>IFERROR(Z19*Dashboard!$B$10*W19,"")</f>
        <v/>
      </c>
      <c r="AB19" s="14">
        <f>IFERROR(AA19/X19,"")</f>
        <v/>
      </c>
      <c r="AC19" s="10">
        <f>IF(AA19="","",IF(AA19&gt;0,1,0))</f>
        <v/>
      </c>
      <c r="AD19" s="12">
        <f>AD18+IF(AA19="",0,AA19)</f>
        <v/>
      </c>
      <c r="AE19" s="12">
        <f>MAX(AE18,AD19)</f>
        <v/>
      </c>
      <c r="AF19" s="12">
        <f>AE19-AD19</f>
        <v/>
      </c>
      <c r="AG19" s="10" t="n"/>
    </row>
    <row r="20">
      <c r="A20" s="10">
        <f>ROW()-2</f>
        <v/>
      </c>
      <c r="B20" s="10" t="n"/>
      <c r="C20" s="10" t="n"/>
      <c r="D20" s="10" t="n"/>
      <c r="E20" s="10" t="n"/>
      <c r="F20" s="10" t="n"/>
      <c r="G20" s="10" t="n"/>
      <c r="H20" s="10" t="n"/>
      <c r="I20" s="13">
        <f>IFERROR(ABS(H20-G20),"")</f>
        <v/>
      </c>
      <c r="J20" s="10" t="n"/>
      <c r="K20" s="10" t="n"/>
      <c r="L20" s="10">
        <f>IF(K20="","",IF(K20&gt;=Dashboard!$B$11,"A+","B-"))</f>
        <v/>
      </c>
      <c r="M20" s="10" t="n"/>
      <c r="N20" s="10" t="n"/>
      <c r="O20" s="10">
        <f>IF(OR(N20="",F20=""),"",IF(OR(AND(F20="Up",N20="Long"),AND(F20="Down",N20="Short")),"OK","CHECK"))</f>
        <v/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2">
        <f>IFERROR(ABS(Q20-R20)/Dashboard!$B$9*Dashboard!$B$10*W20,"")</f>
        <v/>
      </c>
      <c r="Y20" s="13">
        <f>IFERROR(IF(N20="Long",U20-Q20,IF(N20="Short",Q20-U20,"")),"")</f>
        <v/>
      </c>
      <c r="Z20" s="13">
        <f>IFERROR(Y20/Dashboard!$B$9,"")</f>
        <v/>
      </c>
      <c r="AA20" s="12">
        <f>IFERROR(Z20*Dashboard!$B$10*W20,"")</f>
        <v/>
      </c>
      <c r="AB20" s="14">
        <f>IFERROR(AA20/X20,"")</f>
        <v/>
      </c>
      <c r="AC20" s="10">
        <f>IF(AA20="","",IF(AA20&gt;0,1,0))</f>
        <v/>
      </c>
      <c r="AD20" s="12">
        <f>AD19+IF(AA20="",0,AA20)</f>
        <v/>
      </c>
      <c r="AE20" s="12">
        <f>MAX(AE19,AD20)</f>
        <v/>
      </c>
      <c r="AF20" s="12">
        <f>AE20-AD20</f>
        <v/>
      </c>
      <c r="AG20" s="10" t="n"/>
    </row>
    <row r="21">
      <c r="A21" s="10">
        <f>ROW()-2</f>
        <v/>
      </c>
      <c r="B21" s="10" t="n"/>
      <c r="C21" s="10" t="n"/>
      <c r="D21" s="10" t="n"/>
      <c r="E21" s="10" t="n"/>
      <c r="F21" s="10" t="n"/>
      <c r="G21" s="10" t="n"/>
      <c r="H21" s="10" t="n"/>
      <c r="I21" s="13">
        <f>IFERROR(ABS(H21-G21),"")</f>
        <v/>
      </c>
      <c r="J21" s="10" t="n"/>
      <c r="K21" s="10" t="n"/>
      <c r="L21" s="10">
        <f>IF(K21="","",IF(K21&gt;=Dashboard!$B$11,"A+","B-"))</f>
        <v/>
      </c>
      <c r="M21" s="10" t="n"/>
      <c r="N21" s="10" t="n"/>
      <c r="O21" s="10">
        <f>IF(OR(N21="",F21=""),"",IF(OR(AND(F21="Up",N21="Long"),AND(F21="Down",N21="Short")),"OK","CHECK"))</f>
        <v/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2">
        <f>IFERROR(ABS(Q21-R21)/Dashboard!$B$9*Dashboard!$B$10*W21,"")</f>
        <v/>
      </c>
      <c r="Y21" s="13">
        <f>IFERROR(IF(N21="Long",U21-Q21,IF(N21="Short",Q21-U21,"")),"")</f>
        <v/>
      </c>
      <c r="Z21" s="13">
        <f>IFERROR(Y21/Dashboard!$B$9,"")</f>
        <v/>
      </c>
      <c r="AA21" s="12">
        <f>IFERROR(Z21*Dashboard!$B$10*W21,"")</f>
        <v/>
      </c>
      <c r="AB21" s="14">
        <f>IFERROR(AA21/X21,"")</f>
        <v/>
      </c>
      <c r="AC21" s="10">
        <f>IF(AA21="","",IF(AA21&gt;0,1,0))</f>
        <v/>
      </c>
      <c r="AD21" s="12">
        <f>AD20+IF(AA21="",0,AA21)</f>
        <v/>
      </c>
      <c r="AE21" s="12">
        <f>MAX(AE20,AD21)</f>
        <v/>
      </c>
      <c r="AF21" s="12">
        <f>AE21-AD21</f>
        <v/>
      </c>
      <c r="AG21" s="10" t="n"/>
    </row>
    <row r="22">
      <c r="A22" s="10">
        <f>ROW()-2</f>
        <v/>
      </c>
      <c r="B22" s="10" t="n"/>
      <c r="C22" s="10" t="n"/>
      <c r="D22" s="10" t="n"/>
      <c r="E22" s="10" t="n"/>
      <c r="F22" s="10" t="n"/>
      <c r="G22" s="10" t="n"/>
      <c r="H22" s="10" t="n"/>
      <c r="I22" s="13">
        <f>IFERROR(ABS(H22-G22),"")</f>
        <v/>
      </c>
      <c r="J22" s="10" t="n"/>
      <c r="K22" s="10" t="n"/>
      <c r="L22" s="10">
        <f>IF(K22="","",IF(K22&gt;=Dashboard!$B$11,"A+","B-"))</f>
        <v/>
      </c>
      <c r="M22" s="10" t="n"/>
      <c r="N22" s="10" t="n"/>
      <c r="O22" s="10">
        <f>IF(OR(N22="",F22=""),"",IF(OR(AND(F22="Up",N22="Long"),AND(F22="Down",N22="Short")),"OK","CHECK"))</f>
        <v/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2">
        <f>IFERROR(ABS(Q22-R22)/Dashboard!$B$9*Dashboard!$B$10*W22,"")</f>
        <v/>
      </c>
      <c r="Y22" s="13">
        <f>IFERROR(IF(N22="Long",U22-Q22,IF(N22="Short",Q22-U22,"")),"")</f>
        <v/>
      </c>
      <c r="Z22" s="13">
        <f>IFERROR(Y22/Dashboard!$B$9,"")</f>
        <v/>
      </c>
      <c r="AA22" s="12">
        <f>IFERROR(Z22*Dashboard!$B$10*W22,"")</f>
        <v/>
      </c>
      <c r="AB22" s="14">
        <f>IFERROR(AA22/X22,"")</f>
        <v/>
      </c>
      <c r="AC22" s="10">
        <f>IF(AA22="","",IF(AA22&gt;0,1,0))</f>
        <v/>
      </c>
      <c r="AD22" s="12">
        <f>AD21+IF(AA22="",0,AA22)</f>
        <v/>
      </c>
      <c r="AE22" s="12">
        <f>MAX(AE21,AD22)</f>
        <v/>
      </c>
      <c r="AF22" s="12">
        <f>AE22-AD22</f>
        <v/>
      </c>
      <c r="AG22" s="10" t="n"/>
    </row>
    <row r="23">
      <c r="A23" s="10">
        <f>ROW()-2</f>
        <v/>
      </c>
      <c r="B23" s="10" t="n"/>
      <c r="C23" s="10" t="n"/>
      <c r="D23" s="10" t="n"/>
      <c r="E23" s="10" t="n"/>
      <c r="F23" s="10" t="n"/>
      <c r="G23" s="10" t="n"/>
      <c r="H23" s="10" t="n"/>
      <c r="I23" s="13">
        <f>IFERROR(ABS(H23-G23),"")</f>
        <v/>
      </c>
      <c r="J23" s="10" t="n"/>
      <c r="K23" s="10" t="n"/>
      <c r="L23" s="10">
        <f>IF(K23="","",IF(K23&gt;=Dashboard!$B$11,"A+","B-"))</f>
        <v/>
      </c>
      <c r="M23" s="10" t="n"/>
      <c r="N23" s="10" t="n"/>
      <c r="O23" s="10">
        <f>IF(OR(N23="",F23=""),"",IF(OR(AND(F23="Up",N23="Long"),AND(F23="Down",N23="Short")),"OK","CHECK"))</f>
        <v/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2">
        <f>IFERROR(ABS(Q23-R23)/Dashboard!$B$9*Dashboard!$B$10*W23,"")</f>
        <v/>
      </c>
      <c r="Y23" s="13">
        <f>IFERROR(IF(N23="Long",U23-Q23,IF(N23="Short",Q23-U23,"")),"")</f>
        <v/>
      </c>
      <c r="Z23" s="13">
        <f>IFERROR(Y23/Dashboard!$B$9,"")</f>
        <v/>
      </c>
      <c r="AA23" s="12">
        <f>IFERROR(Z23*Dashboard!$B$10*W23,"")</f>
        <v/>
      </c>
      <c r="AB23" s="14">
        <f>IFERROR(AA23/X23,"")</f>
        <v/>
      </c>
      <c r="AC23" s="10">
        <f>IF(AA23="","",IF(AA23&gt;0,1,0))</f>
        <v/>
      </c>
      <c r="AD23" s="12">
        <f>AD22+IF(AA23="",0,AA23)</f>
        <v/>
      </c>
      <c r="AE23" s="12">
        <f>MAX(AE22,AD23)</f>
        <v/>
      </c>
      <c r="AF23" s="12">
        <f>AE23-AD23</f>
        <v/>
      </c>
      <c r="AG23" s="10" t="n"/>
    </row>
    <row r="24">
      <c r="A24" s="10">
        <f>ROW()-2</f>
        <v/>
      </c>
      <c r="B24" s="10" t="n"/>
      <c r="C24" s="10" t="n"/>
      <c r="D24" s="10" t="n"/>
      <c r="E24" s="10" t="n"/>
      <c r="F24" s="10" t="n"/>
      <c r="G24" s="10" t="n"/>
      <c r="H24" s="10" t="n"/>
      <c r="I24" s="13">
        <f>IFERROR(ABS(H24-G24),"")</f>
        <v/>
      </c>
      <c r="J24" s="10" t="n"/>
      <c r="K24" s="10" t="n"/>
      <c r="L24" s="10">
        <f>IF(K24="","",IF(K24&gt;=Dashboard!$B$11,"A+","B-"))</f>
        <v/>
      </c>
      <c r="M24" s="10" t="n"/>
      <c r="N24" s="10" t="n"/>
      <c r="O24" s="10">
        <f>IF(OR(N24="",F24=""),"",IF(OR(AND(F24="Up",N24="Long"),AND(F24="Down",N24="Short")),"OK","CHECK"))</f>
        <v/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2">
        <f>IFERROR(ABS(Q24-R24)/Dashboard!$B$9*Dashboard!$B$10*W24,"")</f>
        <v/>
      </c>
      <c r="Y24" s="13">
        <f>IFERROR(IF(N24="Long",U24-Q24,IF(N24="Short",Q24-U24,"")),"")</f>
        <v/>
      </c>
      <c r="Z24" s="13">
        <f>IFERROR(Y24/Dashboard!$B$9,"")</f>
        <v/>
      </c>
      <c r="AA24" s="12">
        <f>IFERROR(Z24*Dashboard!$B$10*W24,"")</f>
        <v/>
      </c>
      <c r="AB24" s="14">
        <f>IFERROR(AA24/X24,"")</f>
        <v/>
      </c>
      <c r="AC24" s="10">
        <f>IF(AA24="","",IF(AA24&gt;0,1,0))</f>
        <v/>
      </c>
      <c r="AD24" s="12">
        <f>AD23+IF(AA24="",0,AA24)</f>
        <v/>
      </c>
      <c r="AE24" s="12">
        <f>MAX(AE23,AD24)</f>
        <v/>
      </c>
      <c r="AF24" s="12">
        <f>AE24-AD24</f>
        <v/>
      </c>
      <c r="AG24" s="10" t="n"/>
    </row>
    <row r="25">
      <c r="A25" s="10">
        <f>ROW()-2</f>
        <v/>
      </c>
      <c r="B25" s="10" t="n"/>
      <c r="C25" s="10" t="n"/>
      <c r="D25" s="10" t="n"/>
      <c r="E25" s="10" t="n"/>
      <c r="F25" s="10" t="n"/>
      <c r="G25" s="10" t="n"/>
      <c r="H25" s="10" t="n"/>
      <c r="I25" s="13">
        <f>IFERROR(ABS(H25-G25),"")</f>
        <v/>
      </c>
      <c r="J25" s="10" t="n"/>
      <c r="K25" s="10" t="n"/>
      <c r="L25" s="10">
        <f>IF(K25="","",IF(K25&gt;=Dashboard!$B$11,"A+","B-"))</f>
        <v/>
      </c>
      <c r="M25" s="10" t="n"/>
      <c r="N25" s="10" t="n"/>
      <c r="O25" s="10">
        <f>IF(OR(N25="",F25=""),"",IF(OR(AND(F25="Up",N25="Long"),AND(F25="Down",N25="Short")),"OK","CHECK"))</f>
        <v/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2">
        <f>IFERROR(ABS(Q25-R25)/Dashboard!$B$9*Dashboard!$B$10*W25,"")</f>
        <v/>
      </c>
      <c r="Y25" s="13">
        <f>IFERROR(IF(N25="Long",U25-Q25,IF(N25="Short",Q25-U25,"")),"")</f>
        <v/>
      </c>
      <c r="Z25" s="13">
        <f>IFERROR(Y25/Dashboard!$B$9,"")</f>
        <v/>
      </c>
      <c r="AA25" s="12">
        <f>IFERROR(Z25*Dashboard!$B$10*W25,"")</f>
        <v/>
      </c>
      <c r="AB25" s="14">
        <f>IFERROR(AA25/X25,"")</f>
        <v/>
      </c>
      <c r="AC25" s="10">
        <f>IF(AA25="","",IF(AA25&gt;0,1,0))</f>
        <v/>
      </c>
      <c r="AD25" s="12">
        <f>AD24+IF(AA25="",0,AA25)</f>
        <v/>
      </c>
      <c r="AE25" s="12">
        <f>MAX(AE24,AD25)</f>
        <v/>
      </c>
      <c r="AF25" s="12">
        <f>AE25-AD25</f>
        <v/>
      </c>
      <c r="AG25" s="10" t="n"/>
    </row>
    <row r="26">
      <c r="A26" s="10">
        <f>ROW()-2</f>
        <v/>
      </c>
      <c r="B26" s="10" t="n"/>
      <c r="C26" s="10" t="n"/>
      <c r="D26" s="10" t="n"/>
      <c r="E26" s="10" t="n"/>
      <c r="F26" s="10" t="n"/>
      <c r="G26" s="10" t="n"/>
      <c r="H26" s="10" t="n"/>
      <c r="I26" s="13">
        <f>IFERROR(ABS(H26-G26),"")</f>
        <v/>
      </c>
      <c r="J26" s="10" t="n"/>
      <c r="K26" s="10" t="n"/>
      <c r="L26" s="10">
        <f>IF(K26="","",IF(K26&gt;=Dashboard!$B$11,"A+","B-"))</f>
        <v/>
      </c>
      <c r="M26" s="10" t="n"/>
      <c r="N26" s="10" t="n"/>
      <c r="O26" s="10">
        <f>IF(OR(N26="",F26=""),"",IF(OR(AND(F26="Up",N26="Long"),AND(F26="Down",N26="Short")),"OK","CHECK"))</f>
        <v/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2">
        <f>IFERROR(ABS(Q26-R26)/Dashboard!$B$9*Dashboard!$B$10*W26,"")</f>
        <v/>
      </c>
      <c r="Y26" s="13">
        <f>IFERROR(IF(N26="Long",U26-Q26,IF(N26="Short",Q26-U26,"")),"")</f>
        <v/>
      </c>
      <c r="Z26" s="13">
        <f>IFERROR(Y26/Dashboard!$B$9,"")</f>
        <v/>
      </c>
      <c r="AA26" s="12">
        <f>IFERROR(Z26*Dashboard!$B$10*W26,"")</f>
        <v/>
      </c>
      <c r="AB26" s="14">
        <f>IFERROR(AA26/X26,"")</f>
        <v/>
      </c>
      <c r="AC26" s="10">
        <f>IF(AA26="","",IF(AA26&gt;0,1,0))</f>
        <v/>
      </c>
      <c r="AD26" s="12">
        <f>AD25+IF(AA26="",0,AA26)</f>
        <v/>
      </c>
      <c r="AE26" s="12">
        <f>MAX(AE25,AD26)</f>
        <v/>
      </c>
      <c r="AF26" s="12">
        <f>AE26-AD26</f>
        <v/>
      </c>
      <c r="AG26" s="10" t="n"/>
    </row>
    <row r="27">
      <c r="A27" s="10">
        <f>ROW()-2</f>
        <v/>
      </c>
      <c r="B27" s="10" t="n"/>
      <c r="C27" s="10" t="n"/>
      <c r="D27" s="10" t="n"/>
      <c r="E27" s="10" t="n"/>
      <c r="F27" s="10" t="n"/>
      <c r="G27" s="10" t="n"/>
      <c r="H27" s="10" t="n"/>
      <c r="I27" s="13">
        <f>IFERROR(ABS(H27-G27),"")</f>
        <v/>
      </c>
      <c r="J27" s="10" t="n"/>
      <c r="K27" s="10" t="n"/>
      <c r="L27" s="10">
        <f>IF(K27="","",IF(K27&gt;=Dashboard!$B$11,"A+","B-"))</f>
        <v/>
      </c>
      <c r="M27" s="10" t="n"/>
      <c r="N27" s="10" t="n"/>
      <c r="O27" s="10">
        <f>IF(OR(N27="",F27=""),"",IF(OR(AND(F27="Up",N27="Long"),AND(F27="Down",N27="Short")),"OK","CHECK"))</f>
        <v/>
      </c>
      <c r="P27" s="10" t="n"/>
      <c r="Q27" s="10" t="n"/>
      <c r="R27" s="10" t="n"/>
      <c r="S27" s="10" t="n"/>
      <c r="T27" s="10" t="n"/>
      <c r="U27" s="10" t="n"/>
      <c r="V27" s="10" t="n"/>
      <c r="W27" s="10" t="n"/>
      <c r="X27" s="12">
        <f>IFERROR(ABS(Q27-R27)/Dashboard!$B$9*Dashboard!$B$10*W27,"")</f>
        <v/>
      </c>
      <c r="Y27" s="13">
        <f>IFERROR(IF(N27="Long",U27-Q27,IF(N27="Short",Q27-U27,"")),"")</f>
        <v/>
      </c>
      <c r="Z27" s="13">
        <f>IFERROR(Y27/Dashboard!$B$9,"")</f>
        <v/>
      </c>
      <c r="AA27" s="12">
        <f>IFERROR(Z27*Dashboard!$B$10*W27,"")</f>
        <v/>
      </c>
      <c r="AB27" s="14">
        <f>IFERROR(AA27/X27,"")</f>
        <v/>
      </c>
      <c r="AC27" s="10">
        <f>IF(AA27="","",IF(AA27&gt;0,1,0))</f>
        <v/>
      </c>
      <c r="AD27" s="12">
        <f>AD26+IF(AA27="",0,AA27)</f>
        <v/>
      </c>
      <c r="AE27" s="12">
        <f>MAX(AE26,AD27)</f>
        <v/>
      </c>
      <c r="AF27" s="12">
        <f>AE27-AD27</f>
        <v/>
      </c>
      <c r="AG27" s="10" t="n"/>
    </row>
    <row r="28">
      <c r="A28" s="10">
        <f>ROW()-2</f>
        <v/>
      </c>
      <c r="B28" s="10" t="n"/>
      <c r="C28" s="10" t="n"/>
      <c r="D28" s="10" t="n"/>
      <c r="E28" s="10" t="n"/>
      <c r="F28" s="10" t="n"/>
      <c r="G28" s="10" t="n"/>
      <c r="H28" s="10" t="n"/>
      <c r="I28" s="13">
        <f>IFERROR(ABS(H28-G28),"")</f>
        <v/>
      </c>
      <c r="J28" s="10" t="n"/>
      <c r="K28" s="10" t="n"/>
      <c r="L28" s="10">
        <f>IF(K28="","",IF(K28&gt;=Dashboard!$B$11,"A+","B-"))</f>
        <v/>
      </c>
      <c r="M28" s="10" t="n"/>
      <c r="N28" s="10" t="n"/>
      <c r="O28" s="10">
        <f>IF(OR(N28="",F28=""),"",IF(OR(AND(F28="Up",N28="Long"),AND(F28="Down",N28="Short")),"OK","CHECK"))</f>
        <v/>
      </c>
      <c r="P28" s="10" t="n"/>
      <c r="Q28" s="10" t="n"/>
      <c r="R28" s="10" t="n"/>
      <c r="S28" s="10" t="n"/>
      <c r="T28" s="10" t="n"/>
      <c r="U28" s="10" t="n"/>
      <c r="V28" s="10" t="n"/>
      <c r="W28" s="10" t="n"/>
      <c r="X28" s="12">
        <f>IFERROR(ABS(Q28-R28)/Dashboard!$B$9*Dashboard!$B$10*W28,"")</f>
        <v/>
      </c>
      <c r="Y28" s="13">
        <f>IFERROR(IF(N28="Long",U28-Q28,IF(N28="Short",Q28-U28,"")),"")</f>
        <v/>
      </c>
      <c r="Z28" s="13">
        <f>IFERROR(Y28/Dashboard!$B$9,"")</f>
        <v/>
      </c>
      <c r="AA28" s="12">
        <f>IFERROR(Z28*Dashboard!$B$10*W28,"")</f>
        <v/>
      </c>
      <c r="AB28" s="14">
        <f>IFERROR(AA28/X28,"")</f>
        <v/>
      </c>
      <c r="AC28" s="10">
        <f>IF(AA28="","",IF(AA28&gt;0,1,0))</f>
        <v/>
      </c>
      <c r="AD28" s="12">
        <f>AD27+IF(AA28="",0,AA28)</f>
        <v/>
      </c>
      <c r="AE28" s="12">
        <f>MAX(AE27,AD28)</f>
        <v/>
      </c>
      <c r="AF28" s="12">
        <f>AE28-AD28</f>
        <v/>
      </c>
      <c r="AG28" s="10" t="n"/>
    </row>
    <row r="29">
      <c r="A29" s="10">
        <f>ROW()-2</f>
        <v/>
      </c>
      <c r="B29" s="10" t="n"/>
      <c r="C29" s="10" t="n"/>
      <c r="D29" s="10" t="n"/>
      <c r="E29" s="10" t="n"/>
      <c r="F29" s="10" t="n"/>
      <c r="G29" s="10" t="n"/>
      <c r="H29" s="10" t="n"/>
      <c r="I29" s="13">
        <f>IFERROR(ABS(H29-G29),"")</f>
        <v/>
      </c>
      <c r="J29" s="10" t="n"/>
      <c r="K29" s="10" t="n"/>
      <c r="L29" s="10">
        <f>IF(K29="","",IF(K29&gt;=Dashboard!$B$11,"A+","B-"))</f>
        <v/>
      </c>
      <c r="M29" s="10" t="n"/>
      <c r="N29" s="10" t="n"/>
      <c r="O29" s="10">
        <f>IF(OR(N29="",F29=""),"",IF(OR(AND(F29="Up",N29="Long"),AND(F29="Down",N29="Short")),"OK","CHECK"))</f>
        <v/>
      </c>
      <c r="P29" s="10" t="n"/>
      <c r="Q29" s="10" t="n"/>
      <c r="R29" s="10" t="n"/>
      <c r="S29" s="10" t="n"/>
      <c r="T29" s="10" t="n"/>
      <c r="U29" s="10" t="n"/>
      <c r="V29" s="10" t="n"/>
      <c r="W29" s="10" t="n"/>
      <c r="X29" s="12">
        <f>IFERROR(ABS(Q29-R29)/Dashboard!$B$9*Dashboard!$B$10*W29,"")</f>
        <v/>
      </c>
      <c r="Y29" s="13">
        <f>IFERROR(IF(N29="Long",U29-Q29,IF(N29="Short",Q29-U29,"")),"")</f>
        <v/>
      </c>
      <c r="Z29" s="13">
        <f>IFERROR(Y29/Dashboard!$B$9,"")</f>
        <v/>
      </c>
      <c r="AA29" s="12">
        <f>IFERROR(Z29*Dashboard!$B$10*W29,"")</f>
        <v/>
      </c>
      <c r="AB29" s="14">
        <f>IFERROR(AA29/X29,"")</f>
        <v/>
      </c>
      <c r="AC29" s="10">
        <f>IF(AA29="","",IF(AA29&gt;0,1,0))</f>
        <v/>
      </c>
      <c r="AD29" s="12">
        <f>AD28+IF(AA29="",0,AA29)</f>
        <v/>
      </c>
      <c r="AE29" s="12">
        <f>MAX(AE28,AD29)</f>
        <v/>
      </c>
      <c r="AF29" s="12">
        <f>AE29-AD29</f>
        <v/>
      </c>
      <c r="AG29" s="10" t="n"/>
    </row>
    <row r="30">
      <c r="A30" s="10">
        <f>ROW()-2</f>
        <v/>
      </c>
      <c r="B30" s="10" t="n"/>
      <c r="C30" s="10" t="n"/>
      <c r="D30" s="10" t="n"/>
      <c r="E30" s="10" t="n"/>
      <c r="F30" s="10" t="n"/>
      <c r="G30" s="10" t="n"/>
      <c r="H30" s="10" t="n"/>
      <c r="I30" s="13">
        <f>IFERROR(ABS(H30-G30),"")</f>
        <v/>
      </c>
      <c r="J30" s="10" t="n"/>
      <c r="K30" s="10" t="n"/>
      <c r="L30" s="10">
        <f>IF(K30="","",IF(K30&gt;=Dashboard!$B$11,"A+","B-"))</f>
        <v/>
      </c>
      <c r="M30" s="10" t="n"/>
      <c r="N30" s="10" t="n"/>
      <c r="O30" s="10">
        <f>IF(OR(N30="",F30=""),"",IF(OR(AND(F30="Up",N30="Long"),AND(F30="Down",N30="Short")),"OK","CHECK"))</f>
        <v/>
      </c>
      <c r="P30" s="10" t="n"/>
      <c r="Q30" s="10" t="n"/>
      <c r="R30" s="10" t="n"/>
      <c r="S30" s="10" t="n"/>
      <c r="T30" s="10" t="n"/>
      <c r="U30" s="10" t="n"/>
      <c r="V30" s="10" t="n"/>
      <c r="W30" s="10" t="n"/>
      <c r="X30" s="12">
        <f>IFERROR(ABS(Q30-R30)/Dashboard!$B$9*Dashboard!$B$10*W30,"")</f>
        <v/>
      </c>
      <c r="Y30" s="13">
        <f>IFERROR(IF(N30="Long",U30-Q30,IF(N30="Short",Q30-U30,"")),"")</f>
        <v/>
      </c>
      <c r="Z30" s="13">
        <f>IFERROR(Y30/Dashboard!$B$9,"")</f>
        <v/>
      </c>
      <c r="AA30" s="12">
        <f>IFERROR(Z30*Dashboard!$B$10*W30,"")</f>
        <v/>
      </c>
      <c r="AB30" s="14">
        <f>IFERROR(AA30/X30,"")</f>
        <v/>
      </c>
      <c r="AC30" s="10">
        <f>IF(AA30="","",IF(AA30&gt;0,1,0))</f>
        <v/>
      </c>
      <c r="AD30" s="12">
        <f>AD29+IF(AA30="",0,AA30)</f>
        <v/>
      </c>
      <c r="AE30" s="12">
        <f>MAX(AE29,AD30)</f>
        <v/>
      </c>
      <c r="AF30" s="12">
        <f>AE30-AD30</f>
        <v/>
      </c>
      <c r="AG30" s="10" t="n"/>
    </row>
    <row r="31">
      <c r="A31" s="10">
        <f>ROW()-2</f>
        <v/>
      </c>
      <c r="B31" s="10" t="n"/>
      <c r="C31" s="10" t="n"/>
      <c r="D31" s="10" t="n"/>
      <c r="E31" s="10" t="n"/>
      <c r="F31" s="10" t="n"/>
      <c r="G31" s="10" t="n"/>
      <c r="H31" s="10" t="n"/>
      <c r="I31" s="13">
        <f>IFERROR(ABS(H31-G31),"")</f>
        <v/>
      </c>
      <c r="J31" s="10" t="n"/>
      <c r="K31" s="10" t="n"/>
      <c r="L31" s="10">
        <f>IF(K31="","",IF(K31&gt;=Dashboard!$B$11,"A+","B-"))</f>
        <v/>
      </c>
      <c r="M31" s="10" t="n"/>
      <c r="N31" s="10" t="n"/>
      <c r="O31" s="10">
        <f>IF(OR(N31="",F31=""),"",IF(OR(AND(F31="Up",N31="Long"),AND(F31="Down",N31="Short")),"OK","CHECK"))</f>
        <v/>
      </c>
      <c r="P31" s="10" t="n"/>
      <c r="Q31" s="10" t="n"/>
      <c r="R31" s="10" t="n"/>
      <c r="S31" s="10" t="n"/>
      <c r="T31" s="10" t="n"/>
      <c r="U31" s="10" t="n"/>
      <c r="V31" s="10" t="n"/>
      <c r="W31" s="10" t="n"/>
      <c r="X31" s="12">
        <f>IFERROR(ABS(Q31-R31)/Dashboard!$B$9*Dashboard!$B$10*W31,"")</f>
        <v/>
      </c>
      <c r="Y31" s="13">
        <f>IFERROR(IF(N31="Long",U31-Q31,IF(N31="Short",Q31-U31,"")),"")</f>
        <v/>
      </c>
      <c r="Z31" s="13">
        <f>IFERROR(Y31/Dashboard!$B$9,"")</f>
        <v/>
      </c>
      <c r="AA31" s="12">
        <f>IFERROR(Z31*Dashboard!$B$10*W31,"")</f>
        <v/>
      </c>
      <c r="AB31" s="14">
        <f>IFERROR(AA31/X31,"")</f>
        <v/>
      </c>
      <c r="AC31" s="10">
        <f>IF(AA31="","",IF(AA31&gt;0,1,0))</f>
        <v/>
      </c>
      <c r="AD31" s="12">
        <f>AD30+IF(AA31="",0,AA31)</f>
        <v/>
      </c>
      <c r="AE31" s="12">
        <f>MAX(AE30,AD31)</f>
        <v/>
      </c>
      <c r="AF31" s="12">
        <f>AE31-AD31</f>
        <v/>
      </c>
      <c r="AG31" s="10" t="n"/>
    </row>
    <row r="32">
      <c r="A32" s="10">
        <f>ROW()-2</f>
        <v/>
      </c>
      <c r="B32" s="10" t="n"/>
      <c r="C32" s="10" t="n"/>
      <c r="D32" s="10" t="n"/>
      <c r="E32" s="10" t="n"/>
      <c r="F32" s="10" t="n"/>
      <c r="G32" s="10" t="n"/>
      <c r="H32" s="10" t="n"/>
      <c r="I32" s="13">
        <f>IFERROR(ABS(H32-G32),"")</f>
        <v/>
      </c>
      <c r="J32" s="10" t="n"/>
      <c r="K32" s="10" t="n"/>
      <c r="L32" s="10">
        <f>IF(K32="","",IF(K32&gt;=Dashboard!$B$11,"A+","B-"))</f>
        <v/>
      </c>
      <c r="M32" s="10" t="n"/>
      <c r="N32" s="10" t="n"/>
      <c r="O32" s="10">
        <f>IF(OR(N32="",F32=""),"",IF(OR(AND(F32="Up",N32="Long"),AND(F32="Down",N32="Short")),"OK","CHECK"))</f>
        <v/>
      </c>
      <c r="P32" s="10" t="n"/>
      <c r="Q32" s="10" t="n"/>
      <c r="R32" s="10" t="n"/>
      <c r="S32" s="10" t="n"/>
      <c r="T32" s="10" t="n"/>
      <c r="U32" s="10" t="n"/>
      <c r="V32" s="10" t="n"/>
      <c r="W32" s="10" t="n"/>
      <c r="X32" s="12">
        <f>IFERROR(ABS(Q32-R32)/Dashboard!$B$9*Dashboard!$B$10*W32,"")</f>
        <v/>
      </c>
      <c r="Y32" s="13">
        <f>IFERROR(IF(N32="Long",U32-Q32,IF(N32="Short",Q32-U32,"")),"")</f>
        <v/>
      </c>
      <c r="Z32" s="13">
        <f>IFERROR(Y32/Dashboard!$B$9,"")</f>
        <v/>
      </c>
      <c r="AA32" s="12">
        <f>IFERROR(Z32*Dashboard!$B$10*W32,"")</f>
        <v/>
      </c>
      <c r="AB32" s="14">
        <f>IFERROR(AA32/X32,"")</f>
        <v/>
      </c>
      <c r="AC32" s="10">
        <f>IF(AA32="","",IF(AA32&gt;0,1,0))</f>
        <v/>
      </c>
      <c r="AD32" s="12">
        <f>AD31+IF(AA32="",0,AA32)</f>
        <v/>
      </c>
      <c r="AE32" s="12">
        <f>MAX(AE31,AD32)</f>
        <v/>
      </c>
      <c r="AF32" s="12">
        <f>AE32-AD32</f>
        <v/>
      </c>
      <c r="AG32" s="10" t="n"/>
    </row>
    <row r="33">
      <c r="A33" s="10">
        <f>ROW()-2</f>
        <v/>
      </c>
      <c r="B33" s="10" t="n"/>
      <c r="C33" s="10" t="n"/>
      <c r="D33" s="10" t="n"/>
      <c r="E33" s="10" t="n"/>
      <c r="F33" s="10" t="n"/>
      <c r="G33" s="10" t="n"/>
      <c r="H33" s="10" t="n"/>
      <c r="I33" s="13">
        <f>IFERROR(ABS(H33-G33),"")</f>
        <v/>
      </c>
      <c r="J33" s="10" t="n"/>
      <c r="K33" s="10" t="n"/>
      <c r="L33" s="10">
        <f>IF(K33="","",IF(K33&gt;=Dashboard!$B$11,"A+","B-"))</f>
        <v/>
      </c>
      <c r="M33" s="10" t="n"/>
      <c r="N33" s="10" t="n"/>
      <c r="O33" s="10">
        <f>IF(OR(N33="",F33=""),"",IF(OR(AND(F33="Up",N33="Long"),AND(F33="Down",N33="Short")),"OK","CHECK"))</f>
        <v/>
      </c>
      <c r="P33" s="10" t="n"/>
      <c r="Q33" s="10" t="n"/>
      <c r="R33" s="10" t="n"/>
      <c r="S33" s="10" t="n"/>
      <c r="T33" s="10" t="n"/>
      <c r="U33" s="10" t="n"/>
      <c r="V33" s="10" t="n"/>
      <c r="W33" s="10" t="n"/>
      <c r="X33" s="12">
        <f>IFERROR(ABS(Q33-R33)/Dashboard!$B$9*Dashboard!$B$10*W33,"")</f>
        <v/>
      </c>
      <c r="Y33" s="13">
        <f>IFERROR(IF(N33="Long",U33-Q33,IF(N33="Short",Q33-U33,"")),"")</f>
        <v/>
      </c>
      <c r="Z33" s="13">
        <f>IFERROR(Y33/Dashboard!$B$9,"")</f>
        <v/>
      </c>
      <c r="AA33" s="12">
        <f>IFERROR(Z33*Dashboard!$B$10*W33,"")</f>
        <v/>
      </c>
      <c r="AB33" s="14">
        <f>IFERROR(AA33/X33,"")</f>
        <v/>
      </c>
      <c r="AC33" s="10">
        <f>IF(AA33="","",IF(AA33&gt;0,1,0))</f>
        <v/>
      </c>
      <c r="AD33" s="12">
        <f>AD32+IF(AA33="",0,AA33)</f>
        <v/>
      </c>
      <c r="AE33" s="12">
        <f>MAX(AE32,AD33)</f>
        <v/>
      </c>
      <c r="AF33" s="12">
        <f>AE33-AD33</f>
        <v/>
      </c>
      <c r="AG33" s="10" t="n"/>
    </row>
    <row r="34">
      <c r="A34" s="10">
        <f>ROW()-2</f>
        <v/>
      </c>
      <c r="B34" s="10" t="n"/>
      <c r="C34" s="10" t="n"/>
      <c r="D34" s="10" t="n"/>
      <c r="E34" s="10" t="n"/>
      <c r="F34" s="10" t="n"/>
      <c r="G34" s="10" t="n"/>
      <c r="H34" s="10" t="n"/>
      <c r="I34" s="13">
        <f>IFERROR(ABS(H34-G34),"")</f>
        <v/>
      </c>
      <c r="J34" s="10" t="n"/>
      <c r="K34" s="10" t="n"/>
      <c r="L34" s="10">
        <f>IF(K34="","",IF(K34&gt;=Dashboard!$B$11,"A+","B-"))</f>
        <v/>
      </c>
      <c r="M34" s="10" t="n"/>
      <c r="N34" s="10" t="n"/>
      <c r="O34" s="10">
        <f>IF(OR(N34="",F34=""),"",IF(OR(AND(F34="Up",N34="Long"),AND(F34="Down",N34="Short")),"OK","CHECK"))</f>
        <v/>
      </c>
      <c r="P34" s="10" t="n"/>
      <c r="Q34" s="10" t="n"/>
      <c r="R34" s="10" t="n"/>
      <c r="S34" s="10" t="n"/>
      <c r="T34" s="10" t="n"/>
      <c r="U34" s="10" t="n"/>
      <c r="V34" s="10" t="n"/>
      <c r="W34" s="10" t="n"/>
      <c r="X34" s="12">
        <f>IFERROR(ABS(Q34-R34)/Dashboard!$B$9*Dashboard!$B$10*W34,"")</f>
        <v/>
      </c>
      <c r="Y34" s="13">
        <f>IFERROR(IF(N34="Long",U34-Q34,IF(N34="Short",Q34-U34,"")),"")</f>
        <v/>
      </c>
      <c r="Z34" s="13">
        <f>IFERROR(Y34/Dashboard!$B$9,"")</f>
        <v/>
      </c>
      <c r="AA34" s="12">
        <f>IFERROR(Z34*Dashboard!$B$10*W34,"")</f>
        <v/>
      </c>
      <c r="AB34" s="14">
        <f>IFERROR(AA34/X34,"")</f>
        <v/>
      </c>
      <c r="AC34" s="10">
        <f>IF(AA34="","",IF(AA34&gt;0,1,0))</f>
        <v/>
      </c>
      <c r="AD34" s="12">
        <f>AD33+IF(AA34="",0,AA34)</f>
        <v/>
      </c>
      <c r="AE34" s="12">
        <f>MAX(AE33,AD34)</f>
        <v/>
      </c>
      <c r="AF34" s="12">
        <f>AE34-AD34</f>
        <v/>
      </c>
      <c r="AG34" s="10" t="n"/>
    </row>
    <row r="35">
      <c r="A35" s="10">
        <f>ROW()-2</f>
        <v/>
      </c>
      <c r="B35" s="10" t="n"/>
      <c r="C35" s="10" t="n"/>
      <c r="D35" s="10" t="n"/>
      <c r="E35" s="10" t="n"/>
      <c r="F35" s="10" t="n"/>
      <c r="G35" s="10" t="n"/>
      <c r="H35" s="10" t="n"/>
      <c r="I35" s="13">
        <f>IFERROR(ABS(H35-G35),"")</f>
        <v/>
      </c>
      <c r="J35" s="10" t="n"/>
      <c r="K35" s="10" t="n"/>
      <c r="L35" s="10">
        <f>IF(K35="","",IF(K35&gt;=Dashboard!$B$11,"A+","B-"))</f>
        <v/>
      </c>
      <c r="M35" s="10" t="n"/>
      <c r="N35" s="10" t="n"/>
      <c r="O35" s="10">
        <f>IF(OR(N35="",F35=""),"",IF(OR(AND(F35="Up",N35="Long"),AND(F35="Down",N35="Short")),"OK","CHECK"))</f>
        <v/>
      </c>
      <c r="P35" s="10" t="n"/>
      <c r="Q35" s="10" t="n"/>
      <c r="R35" s="10" t="n"/>
      <c r="S35" s="10" t="n"/>
      <c r="T35" s="10" t="n"/>
      <c r="U35" s="10" t="n"/>
      <c r="V35" s="10" t="n"/>
      <c r="W35" s="10" t="n"/>
      <c r="X35" s="12">
        <f>IFERROR(ABS(Q35-R35)/Dashboard!$B$9*Dashboard!$B$10*W35,"")</f>
        <v/>
      </c>
      <c r="Y35" s="13">
        <f>IFERROR(IF(N35="Long",U35-Q35,IF(N35="Short",Q35-U35,"")),"")</f>
        <v/>
      </c>
      <c r="Z35" s="13">
        <f>IFERROR(Y35/Dashboard!$B$9,"")</f>
        <v/>
      </c>
      <c r="AA35" s="12">
        <f>IFERROR(Z35*Dashboard!$B$10*W35,"")</f>
        <v/>
      </c>
      <c r="AB35" s="14">
        <f>IFERROR(AA35/X35,"")</f>
        <v/>
      </c>
      <c r="AC35" s="10">
        <f>IF(AA35="","",IF(AA35&gt;0,1,0))</f>
        <v/>
      </c>
      <c r="AD35" s="12">
        <f>AD34+IF(AA35="",0,AA35)</f>
        <v/>
      </c>
      <c r="AE35" s="12">
        <f>MAX(AE34,AD35)</f>
        <v/>
      </c>
      <c r="AF35" s="12">
        <f>AE35-AD35</f>
        <v/>
      </c>
      <c r="AG35" s="10" t="n"/>
    </row>
    <row r="36">
      <c r="A36" s="10">
        <f>ROW()-2</f>
        <v/>
      </c>
      <c r="B36" s="10" t="n"/>
      <c r="C36" s="10" t="n"/>
      <c r="D36" s="10" t="n"/>
      <c r="E36" s="10" t="n"/>
      <c r="F36" s="10" t="n"/>
      <c r="G36" s="10" t="n"/>
      <c r="H36" s="10" t="n"/>
      <c r="I36" s="13">
        <f>IFERROR(ABS(H36-G36),"")</f>
        <v/>
      </c>
      <c r="J36" s="10" t="n"/>
      <c r="K36" s="10" t="n"/>
      <c r="L36" s="10">
        <f>IF(K36="","",IF(K36&gt;=Dashboard!$B$11,"A+","B-"))</f>
        <v/>
      </c>
      <c r="M36" s="10" t="n"/>
      <c r="N36" s="10" t="n"/>
      <c r="O36" s="10">
        <f>IF(OR(N36="",F36=""),"",IF(OR(AND(F36="Up",N36="Long"),AND(F36="Down",N36="Short")),"OK","CHECK"))</f>
        <v/>
      </c>
      <c r="P36" s="10" t="n"/>
      <c r="Q36" s="10" t="n"/>
      <c r="R36" s="10" t="n"/>
      <c r="S36" s="10" t="n"/>
      <c r="T36" s="10" t="n"/>
      <c r="U36" s="10" t="n"/>
      <c r="V36" s="10" t="n"/>
      <c r="W36" s="10" t="n"/>
      <c r="X36" s="12">
        <f>IFERROR(ABS(Q36-R36)/Dashboard!$B$9*Dashboard!$B$10*W36,"")</f>
        <v/>
      </c>
      <c r="Y36" s="13">
        <f>IFERROR(IF(N36="Long",U36-Q36,IF(N36="Short",Q36-U36,"")),"")</f>
        <v/>
      </c>
      <c r="Z36" s="13">
        <f>IFERROR(Y36/Dashboard!$B$9,"")</f>
        <v/>
      </c>
      <c r="AA36" s="12">
        <f>IFERROR(Z36*Dashboard!$B$10*W36,"")</f>
        <v/>
      </c>
      <c r="AB36" s="14">
        <f>IFERROR(AA36/X36,"")</f>
        <v/>
      </c>
      <c r="AC36" s="10">
        <f>IF(AA36="","",IF(AA36&gt;0,1,0))</f>
        <v/>
      </c>
      <c r="AD36" s="12">
        <f>AD35+IF(AA36="",0,AA36)</f>
        <v/>
      </c>
      <c r="AE36" s="12">
        <f>MAX(AE35,AD36)</f>
        <v/>
      </c>
      <c r="AF36" s="12">
        <f>AE36-AD36</f>
        <v/>
      </c>
      <c r="AG36" s="10" t="n"/>
    </row>
    <row r="37">
      <c r="A37" s="10">
        <f>ROW()-2</f>
        <v/>
      </c>
      <c r="B37" s="10" t="n"/>
      <c r="C37" s="10" t="n"/>
      <c r="D37" s="10" t="n"/>
      <c r="E37" s="10" t="n"/>
      <c r="F37" s="10" t="n"/>
      <c r="G37" s="10" t="n"/>
      <c r="H37" s="10" t="n"/>
      <c r="I37" s="13">
        <f>IFERROR(ABS(H37-G37),"")</f>
        <v/>
      </c>
      <c r="J37" s="10" t="n"/>
      <c r="K37" s="10" t="n"/>
      <c r="L37" s="10">
        <f>IF(K37="","",IF(K37&gt;=Dashboard!$B$11,"A+","B-"))</f>
        <v/>
      </c>
      <c r="M37" s="10" t="n"/>
      <c r="N37" s="10" t="n"/>
      <c r="O37" s="10">
        <f>IF(OR(N37="",F37=""),"",IF(OR(AND(F37="Up",N37="Long"),AND(F37="Down",N37="Short")),"OK","CHECK"))</f>
        <v/>
      </c>
      <c r="P37" s="10" t="n"/>
      <c r="Q37" s="10" t="n"/>
      <c r="R37" s="10" t="n"/>
      <c r="S37" s="10" t="n"/>
      <c r="T37" s="10" t="n"/>
      <c r="U37" s="10" t="n"/>
      <c r="V37" s="10" t="n"/>
      <c r="W37" s="10" t="n"/>
      <c r="X37" s="12">
        <f>IFERROR(ABS(Q37-R37)/Dashboard!$B$9*Dashboard!$B$10*W37,"")</f>
        <v/>
      </c>
      <c r="Y37" s="13">
        <f>IFERROR(IF(N37="Long",U37-Q37,IF(N37="Short",Q37-U37,"")),"")</f>
        <v/>
      </c>
      <c r="Z37" s="13">
        <f>IFERROR(Y37/Dashboard!$B$9,"")</f>
        <v/>
      </c>
      <c r="AA37" s="12">
        <f>IFERROR(Z37*Dashboard!$B$10*W37,"")</f>
        <v/>
      </c>
      <c r="AB37" s="14">
        <f>IFERROR(AA37/X37,"")</f>
        <v/>
      </c>
      <c r="AC37" s="10">
        <f>IF(AA37="","",IF(AA37&gt;0,1,0))</f>
        <v/>
      </c>
      <c r="AD37" s="12">
        <f>AD36+IF(AA37="",0,AA37)</f>
        <v/>
      </c>
      <c r="AE37" s="12">
        <f>MAX(AE36,AD37)</f>
        <v/>
      </c>
      <c r="AF37" s="12">
        <f>AE37-AD37</f>
        <v/>
      </c>
      <c r="AG37" s="10" t="n"/>
    </row>
    <row r="38">
      <c r="A38" s="10">
        <f>ROW()-2</f>
        <v/>
      </c>
      <c r="B38" s="10" t="n"/>
      <c r="C38" s="10" t="n"/>
      <c r="D38" s="10" t="n"/>
      <c r="E38" s="10" t="n"/>
      <c r="F38" s="10" t="n"/>
      <c r="G38" s="10" t="n"/>
      <c r="H38" s="10" t="n"/>
      <c r="I38" s="13">
        <f>IFERROR(ABS(H38-G38),"")</f>
        <v/>
      </c>
      <c r="J38" s="10" t="n"/>
      <c r="K38" s="10" t="n"/>
      <c r="L38" s="10">
        <f>IF(K38="","",IF(K38&gt;=Dashboard!$B$11,"A+","B-"))</f>
        <v/>
      </c>
      <c r="M38" s="10" t="n"/>
      <c r="N38" s="10" t="n"/>
      <c r="O38" s="10">
        <f>IF(OR(N38="",F38=""),"",IF(OR(AND(F38="Up",N38="Long"),AND(F38="Down",N38="Short")),"OK","CHECK"))</f>
        <v/>
      </c>
      <c r="P38" s="10" t="n"/>
      <c r="Q38" s="10" t="n"/>
      <c r="R38" s="10" t="n"/>
      <c r="S38" s="10" t="n"/>
      <c r="T38" s="10" t="n"/>
      <c r="U38" s="10" t="n"/>
      <c r="V38" s="10" t="n"/>
      <c r="W38" s="10" t="n"/>
      <c r="X38" s="12">
        <f>IFERROR(ABS(Q38-R38)/Dashboard!$B$9*Dashboard!$B$10*W38,"")</f>
        <v/>
      </c>
      <c r="Y38" s="13">
        <f>IFERROR(IF(N38="Long",U38-Q38,IF(N38="Short",Q38-U38,"")),"")</f>
        <v/>
      </c>
      <c r="Z38" s="13">
        <f>IFERROR(Y38/Dashboard!$B$9,"")</f>
        <v/>
      </c>
      <c r="AA38" s="12">
        <f>IFERROR(Z38*Dashboard!$B$10*W38,"")</f>
        <v/>
      </c>
      <c r="AB38" s="14">
        <f>IFERROR(AA38/X38,"")</f>
        <v/>
      </c>
      <c r="AC38" s="10">
        <f>IF(AA38="","",IF(AA38&gt;0,1,0))</f>
        <v/>
      </c>
      <c r="AD38" s="12">
        <f>AD37+IF(AA38="",0,AA38)</f>
        <v/>
      </c>
      <c r="AE38" s="12">
        <f>MAX(AE37,AD38)</f>
        <v/>
      </c>
      <c r="AF38" s="12">
        <f>AE38-AD38</f>
        <v/>
      </c>
      <c r="AG38" s="10" t="n"/>
    </row>
    <row r="39">
      <c r="A39" s="10">
        <f>ROW()-2</f>
        <v/>
      </c>
      <c r="B39" s="10" t="n"/>
      <c r="C39" s="10" t="n"/>
      <c r="D39" s="10" t="n"/>
      <c r="E39" s="10" t="n"/>
      <c r="F39" s="10" t="n"/>
      <c r="G39" s="10" t="n"/>
      <c r="H39" s="10" t="n"/>
      <c r="I39" s="13">
        <f>IFERROR(ABS(H39-G39),"")</f>
        <v/>
      </c>
      <c r="J39" s="10" t="n"/>
      <c r="K39" s="10" t="n"/>
      <c r="L39" s="10">
        <f>IF(K39="","",IF(K39&gt;=Dashboard!$B$11,"A+","B-"))</f>
        <v/>
      </c>
      <c r="M39" s="10" t="n"/>
      <c r="N39" s="10" t="n"/>
      <c r="O39" s="10">
        <f>IF(OR(N39="",F39=""),"",IF(OR(AND(F39="Up",N39="Long"),AND(F39="Down",N39="Short")),"OK","CHECK"))</f>
        <v/>
      </c>
      <c r="P39" s="10" t="n"/>
      <c r="Q39" s="10" t="n"/>
      <c r="R39" s="10" t="n"/>
      <c r="S39" s="10" t="n"/>
      <c r="T39" s="10" t="n"/>
      <c r="U39" s="10" t="n"/>
      <c r="V39" s="10" t="n"/>
      <c r="W39" s="10" t="n"/>
      <c r="X39" s="12">
        <f>IFERROR(ABS(Q39-R39)/Dashboard!$B$9*Dashboard!$B$10*W39,"")</f>
        <v/>
      </c>
      <c r="Y39" s="13">
        <f>IFERROR(IF(N39="Long",U39-Q39,IF(N39="Short",Q39-U39,"")),"")</f>
        <v/>
      </c>
      <c r="Z39" s="13">
        <f>IFERROR(Y39/Dashboard!$B$9,"")</f>
        <v/>
      </c>
      <c r="AA39" s="12">
        <f>IFERROR(Z39*Dashboard!$B$10*W39,"")</f>
        <v/>
      </c>
      <c r="AB39" s="14">
        <f>IFERROR(AA39/X39,"")</f>
        <v/>
      </c>
      <c r="AC39" s="10">
        <f>IF(AA39="","",IF(AA39&gt;0,1,0))</f>
        <v/>
      </c>
      <c r="AD39" s="12">
        <f>AD38+IF(AA39="",0,AA39)</f>
        <v/>
      </c>
      <c r="AE39" s="12">
        <f>MAX(AE38,AD39)</f>
        <v/>
      </c>
      <c r="AF39" s="12">
        <f>AE39-AD39</f>
        <v/>
      </c>
      <c r="AG39" s="10" t="n"/>
    </row>
    <row r="40">
      <c r="A40" s="10">
        <f>ROW()-2</f>
        <v/>
      </c>
      <c r="B40" s="10" t="n"/>
      <c r="C40" s="10" t="n"/>
      <c r="D40" s="10" t="n"/>
      <c r="E40" s="10" t="n"/>
      <c r="F40" s="10" t="n"/>
      <c r="G40" s="10" t="n"/>
      <c r="H40" s="10" t="n"/>
      <c r="I40" s="13">
        <f>IFERROR(ABS(H40-G40),"")</f>
        <v/>
      </c>
      <c r="J40" s="10" t="n"/>
      <c r="K40" s="10" t="n"/>
      <c r="L40" s="10">
        <f>IF(K40="","",IF(K40&gt;=Dashboard!$B$11,"A+","B-"))</f>
        <v/>
      </c>
      <c r="M40" s="10" t="n"/>
      <c r="N40" s="10" t="n"/>
      <c r="O40" s="10">
        <f>IF(OR(N40="",F40=""),"",IF(OR(AND(F40="Up",N40="Long"),AND(F40="Down",N40="Short")),"OK","CHECK"))</f>
        <v/>
      </c>
      <c r="P40" s="10" t="n"/>
      <c r="Q40" s="10" t="n"/>
      <c r="R40" s="10" t="n"/>
      <c r="S40" s="10" t="n"/>
      <c r="T40" s="10" t="n"/>
      <c r="U40" s="10" t="n"/>
      <c r="V40" s="10" t="n"/>
      <c r="W40" s="10" t="n"/>
      <c r="X40" s="12">
        <f>IFERROR(ABS(Q40-R40)/Dashboard!$B$9*Dashboard!$B$10*W40,"")</f>
        <v/>
      </c>
      <c r="Y40" s="13">
        <f>IFERROR(IF(N40="Long",U40-Q40,IF(N40="Short",Q40-U40,"")),"")</f>
        <v/>
      </c>
      <c r="Z40" s="13">
        <f>IFERROR(Y40/Dashboard!$B$9,"")</f>
        <v/>
      </c>
      <c r="AA40" s="12">
        <f>IFERROR(Z40*Dashboard!$B$10*W40,"")</f>
        <v/>
      </c>
      <c r="AB40" s="14">
        <f>IFERROR(AA40/X40,"")</f>
        <v/>
      </c>
      <c r="AC40" s="10">
        <f>IF(AA40="","",IF(AA40&gt;0,1,0))</f>
        <v/>
      </c>
      <c r="AD40" s="12">
        <f>AD39+IF(AA40="",0,AA40)</f>
        <v/>
      </c>
      <c r="AE40" s="12">
        <f>MAX(AE39,AD40)</f>
        <v/>
      </c>
      <c r="AF40" s="12">
        <f>AE40-AD40</f>
        <v/>
      </c>
      <c r="AG40" s="10" t="n"/>
    </row>
    <row r="41">
      <c r="A41" s="10">
        <f>ROW()-2</f>
        <v/>
      </c>
      <c r="B41" s="10" t="n"/>
      <c r="C41" s="10" t="n"/>
      <c r="D41" s="10" t="n"/>
      <c r="E41" s="10" t="n"/>
      <c r="F41" s="10" t="n"/>
      <c r="G41" s="10" t="n"/>
      <c r="H41" s="10" t="n"/>
      <c r="I41" s="13">
        <f>IFERROR(ABS(H41-G41),"")</f>
        <v/>
      </c>
      <c r="J41" s="10" t="n"/>
      <c r="K41" s="10" t="n"/>
      <c r="L41" s="10">
        <f>IF(K41="","",IF(K41&gt;=Dashboard!$B$11,"A+","B-"))</f>
        <v/>
      </c>
      <c r="M41" s="10" t="n"/>
      <c r="N41" s="10" t="n"/>
      <c r="O41" s="10">
        <f>IF(OR(N41="",F41=""),"",IF(OR(AND(F41="Up",N41="Long"),AND(F41="Down",N41="Short")),"OK","CHECK"))</f>
        <v/>
      </c>
      <c r="P41" s="10" t="n"/>
      <c r="Q41" s="10" t="n"/>
      <c r="R41" s="10" t="n"/>
      <c r="S41" s="10" t="n"/>
      <c r="T41" s="10" t="n"/>
      <c r="U41" s="10" t="n"/>
      <c r="V41" s="10" t="n"/>
      <c r="W41" s="10" t="n"/>
      <c r="X41" s="12">
        <f>IFERROR(ABS(Q41-R41)/Dashboard!$B$9*Dashboard!$B$10*W41,"")</f>
        <v/>
      </c>
      <c r="Y41" s="13">
        <f>IFERROR(IF(N41="Long",U41-Q41,IF(N41="Short",Q41-U41,"")),"")</f>
        <v/>
      </c>
      <c r="Z41" s="13">
        <f>IFERROR(Y41/Dashboard!$B$9,"")</f>
        <v/>
      </c>
      <c r="AA41" s="12">
        <f>IFERROR(Z41*Dashboard!$B$10*W41,"")</f>
        <v/>
      </c>
      <c r="AB41" s="14">
        <f>IFERROR(AA41/X41,"")</f>
        <v/>
      </c>
      <c r="AC41" s="10">
        <f>IF(AA41="","",IF(AA41&gt;0,1,0))</f>
        <v/>
      </c>
      <c r="AD41" s="12">
        <f>AD40+IF(AA41="",0,AA41)</f>
        <v/>
      </c>
      <c r="AE41" s="12">
        <f>MAX(AE40,AD41)</f>
        <v/>
      </c>
      <c r="AF41" s="12">
        <f>AE41-AD41</f>
        <v/>
      </c>
      <c r="AG41" s="10" t="n"/>
    </row>
    <row r="42">
      <c r="A42" s="10">
        <f>ROW()-2</f>
        <v/>
      </c>
      <c r="B42" s="10" t="n"/>
      <c r="C42" s="10" t="n"/>
      <c r="D42" s="10" t="n"/>
      <c r="E42" s="10" t="n"/>
      <c r="F42" s="10" t="n"/>
      <c r="G42" s="10" t="n"/>
      <c r="H42" s="10" t="n"/>
      <c r="I42" s="13">
        <f>IFERROR(ABS(H42-G42),"")</f>
        <v/>
      </c>
      <c r="J42" s="10" t="n"/>
      <c r="K42" s="10" t="n"/>
      <c r="L42" s="10">
        <f>IF(K42="","",IF(K42&gt;=Dashboard!$B$11,"A+","B-"))</f>
        <v/>
      </c>
      <c r="M42" s="10" t="n"/>
      <c r="N42" s="10" t="n"/>
      <c r="O42" s="10">
        <f>IF(OR(N42="",F42=""),"",IF(OR(AND(F42="Up",N42="Long"),AND(F42="Down",N42="Short")),"OK","CHECK"))</f>
        <v/>
      </c>
      <c r="P42" s="10" t="n"/>
      <c r="Q42" s="10" t="n"/>
      <c r="R42" s="10" t="n"/>
      <c r="S42" s="10" t="n"/>
      <c r="T42" s="10" t="n"/>
      <c r="U42" s="10" t="n"/>
      <c r="V42" s="10" t="n"/>
      <c r="W42" s="10" t="n"/>
      <c r="X42" s="12">
        <f>IFERROR(ABS(Q42-R42)/Dashboard!$B$9*Dashboard!$B$10*W42,"")</f>
        <v/>
      </c>
      <c r="Y42" s="13">
        <f>IFERROR(IF(N42="Long",U42-Q42,IF(N42="Short",Q42-U42,"")),"")</f>
        <v/>
      </c>
      <c r="Z42" s="13">
        <f>IFERROR(Y42/Dashboard!$B$9,"")</f>
        <v/>
      </c>
      <c r="AA42" s="12">
        <f>IFERROR(Z42*Dashboard!$B$10*W42,"")</f>
        <v/>
      </c>
      <c r="AB42" s="14">
        <f>IFERROR(AA42/X42,"")</f>
        <v/>
      </c>
      <c r="AC42" s="10">
        <f>IF(AA42="","",IF(AA42&gt;0,1,0))</f>
        <v/>
      </c>
      <c r="AD42" s="12">
        <f>AD41+IF(AA42="",0,AA42)</f>
        <v/>
      </c>
      <c r="AE42" s="12">
        <f>MAX(AE41,AD42)</f>
        <v/>
      </c>
      <c r="AF42" s="12">
        <f>AE42-AD42</f>
        <v/>
      </c>
      <c r="AG42" s="10" t="n"/>
    </row>
    <row r="43">
      <c r="A43" s="10">
        <f>ROW()-2</f>
        <v/>
      </c>
      <c r="B43" s="10" t="n"/>
      <c r="C43" s="10" t="n"/>
      <c r="D43" s="10" t="n"/>
      <c r="E43" s="10" t="n"/>
      <c r="F43" s="10" t="n"/>
      <c r="G43" s="10" t="n"/>
      <c r="H43" s="10" t="n"/>
      <c r="I43" s="13">
        <f>IFERROR(ABS(H43-G43),"")</f>
        <v/>
      </c>
      <c r="J43" s="10" t="n"/>
      <c r="K43" s="10" t="n"/>
      <c r="L43" s="10">
        <f>IF(K43="","",IF(K43&gt;=Dashboard!$B$11,"A+","B-"))</f>
        <v/>
      </c>
      <c r="M43" s="10" t="n"/>
      <c r="N43" s="10" t="n"/>
      <c r="O43" s="10">
        <f>IF(OR(N43="",F43=""),"",IF(OR(AND(F43="Up",N43="Long"),AND(F43="Down",N43="Short")),"OK","CHECK"))</f>
        <v/>
      </c>
      <c r="P43" s="10" t="n"/>
      <c r="Q43" s="10" t="n"/>
      <c r="R43" s="10" t="n"/>
      <c r="S43" s="10" t="n"/>
      <c r="T43" s="10" t="n"/>
      <c r="U43" s="10" t="n"/>
      <c r="V43" s="10" t="n"/>
      <c r="W43" s="10" t="n"/>
      <c r="X43" s="12">
        <f>IFERROR(ABS(Q43-R43)/Dashboard!$B$9*Dashboard!$B$10*W43,"")</f>
        <v/>
      </c>
      <c r="Y43" s="13">
        <f>IFERROR(IF(N43="Long",U43-Q43,IF(N43="Short",Q43-U43,"")),"")</f>
        <v/>
      </c>
      <c r="Z43" s="13">
        <f>IFERROR(Y43/Dashboard!$B$9,"")</f>
        <v/>
      </c>
      <c r="AA43" s="12">
        <f>IFERROR(Z43*Dashboard!$B$10*W43,"")</f>
        <v/>
      </c>
      <c r="AB43" s="14">
        <f>IFERROR(AA43/X43,"")</f>
        <v/>
      </c>
      <c r="AC43" s="10">
        <f>IF(AA43="","",IF(AA43&gt;0,1,0))</f>
        <v/>
      </c>
      <c r="AD43" s="12">
        <f>AD42+IF(AA43="",0,AA43)</f>
        <v/>
      </c>
      <c r="AE43" s="12">
        <f>MAX(AE42,AD43)</f>
        <v/>
      </c>
      <c r="AF43" s="12">
        <f>AE43-AD43</f>
        <v/>
      </c>
      <c r="AG43" s="10" t="n"/>
    </row>
    <row r="44">
      <c r="A44" s="10">
        <f>ROW()-2</f>
        <v/>
      </c>
      <c r="B44" s="10" t="n"/>
      <c r="C44" s="10" t="n"/>
      <c r="D44" s="10" t="n"/>
      <c r="E44" s="10" t="n"/>
      <c r="F44" s="10" t="n"/>
      <c r="G44" s="10" t="n"/>
      <c r="H44" s="10" t="n"/>
      <c r="I44" s="13">
        <f>IFERROR(ABS(H44-G44),"")</f>
        <v/>
      </c>
      <c r="J44" s="10" t="n"/>
      <c r="K44" s="10" t="n"/>
      <c r="L44" s="10">
        <f>IF(K44="","",IF(K44&gt;=Dashboard!$B$11,"A+","B-"))</f>
        <v/>
      </c>
      <c r="M44" s="10" t="n"/>
      <c r="N44" s="10" t="n"/>
      <c r="O44" s="10">
        <f>IF(OR(N44="",F44=""),"",IF(OR(AND(F44="Up",N44="Long"),AND(F44="Down",N44="Short")),"OK","CHECK"))</f>
        <v/>
      </c>
      <c r="P44" s="10" t="n"/>
      <c r="Q44" s="10" t="n"/>
      <c r="R44" s="10" t="n"/>
      <c r="S44" s="10" t="n"/>
      <c r="T44" s="10" t="n"/>
      <c r="U44" s="10" t="n"/>
      <c r="V44" s="10" t="n"/>
      <c r="W44" s="10" t="n"/>
      <c r="X44" s="12">
        <f>IFERROR(ABS(Q44-R44)/Dashboard!$B$9*Dashboard!$B$10*W44,"")</f>
        <v/>
      </c>
      <c r="Y44" s="13">
        <f>IFERROR(IF(N44="Long",U44-Q44,IF(N44="Short",Q44-U44,"")),"")</f>
        <v/>
      </c>
      <c r="Z44" s="13">
        <f>IFERROR(Y44/Dashboard!$B$9,"")</f>
        <v/>
      </c>
      <c r="AA44" s="12">
        <f>IFERROR(Z44*Dashboard!$B$10*W44,"")</f>
        <v/>
      </c>
      <c r="AB44" s="14">
        <f>IFERROR(AA44/X44,"")</f>
        <v/>
      </c>
      <c r="AC44" s="10">
        <f>IF(AA44="","",IF(AA44&gt;0,1,0))</f>
        <v/>
      </c>
      <c r="AD44" s="12">
        <f>AD43+IF(AA44="",0,AA44)</f>
        <v/>
      </c>
      <c r="AE44" s="12">
        <f>MAX(AE43,AD44)</f>
        <v/>
      </c>
      <c r="AF44" s="12">
        <f>AE44-AD44</f>
        <v/>
      </c>
      <c r="AG44" s="10" t="n"/>
    </row>
    <row r="45">
      <c r="A45" s="10">
        <f>ROW()-2</f>
        <v/>
      </c>
      <c r="B45" s="10" t="n"/>
      <c r="C45" s="10" t="n"/>
      <c r="D45" s="10" t="n"/>
      <c r="E45" s="10" t="n"/>
      <c r="F45" s="10" t="n"/>
      <c r="G45" s="10" t="n"/>
      <c r="H45" s="10" t="n"/>
      <c r="I45" s="13">
        <f>IFERROR(ABS(H45-G45),"")</f>
        <v/>
      </c>
      <c r="J45" s="10" t="n"/>
      <c r="K45" s="10" t="n"/>
      <c r="L45" s="10">
        <f>IF(K45="","",IF(K45&gt;=Dashboard!$B$11,"A+","B-"))</f>
        <v/>
      </c>
      <c r="M45" s="10" t="n"/>
      <c r="N45" s="10" t="n"/>
      <c r="O45" s="10">
        <f>IF(OR(N45="",F45=""),"",IF(OR(AND(F45="Up",N45="Long"),AND(F45="Down",N45="Short")),"OK","CHECK"))</f>
        <v/>
      </c>
      <c r="P45" s="10" t="n"/>
      <c r="Q45" s="10" t="n"/>
      <c r="R45" s="10" t="n"/>
      <c r="S45" s="10" t="n"/>
      <c r="T45" s="10" t="n"/>
      <c r="U45" s="10" t="n"/>
      <c r="V45" s="10" t="n"/>
      <c r="W45" s="10" t="n"/>
      <c r="X45" s="12">
        <f>IFERROR(ABS(Q45-R45)/Dashboard!$B$9*Dashboard!$B$10*W45,"")</f>
        <v/>
      </c>
      <c r="Y45" s="13">
        <f>IFERROR(IF(N45="Long",U45-Q45,IF(N45="Short",Q45-U45,"")),"")</f>
        <v/>
      </c>
      <c r="Z45" s="13">
        <f>IFERROR(Y45/Dashboard!$B$9,"")</f>
        <v/>
      </c>
      <c r="AA45" s="12">
        <f>IFERROR(Z45*Dashboard!$B$10*W45,"")</f>
        <v/>
      </c>
      <c r="AB45" s="14">
        <f>IFERROR(AA45/X45,"")</f>
        <v/>
      </c>
      <c r="AC45" s="10">
        <f>IF(AA45="","",IF(AA45&gt;0,1,0))</f>
        <v/>
      </c>
      <c r="AD45" s="12">
        <f>AD44+IF(AA45="",0,AA45)</f>
        <v/>
      </c>
      <c r="AE45" s="12">
        <f>MAX(AE44,AD45)</f>
        <v/>
      </c>
      <c r="AF45" s="12">
        <f>AE45-AD45</f>
        <v/>
      </c>
      <c r="AG45" s="10" t="n"/>
    </row>
    <row r="46">
      <c r="A46" s="10">
        <f>ROW()-2</f>
        <v/>
      </c>
      <c r="B46" s="10" t="n"/>
      <c r="C46" s="10" t="n"/>
      <c r="D46" s="10" t="n"/>
      <c r="E46" s="10" t="n"/>
      <c r="F46" s="10" t="n"/>
      <c r="G46" s="10" t="n"/>
      <c r="H46" s="10" t="n"/>
      <c r="I46" s="13">
        <f>IFERROR(ABS(H46-G46),"")</f>
        <v/>
      </c>
      <c r="J46" s="10" t="n"/>
      <c r="K46" s="10" t="n"/>
      <c r="L46" s="10">
        <f>IF(K46="","",IF(K46&gt;=Dashboard!$B$11,"A+","B-"))</f>
        <v/>
      </c>
      <c r="M46" s="10" t="n"/>
      <c r="N46" s="10" t="n"/>
      <c r="O46" s="10">
        <f>IF(OR(N46="",F46=""),"",IF(OR(AND(F46="Up",N46="Long"),AND(F46="Down",N46="Short")),"OK","CHECK"))</f>
        <v/>
      </c>
      <c r="P46" s="10" t="n"/>
      <c r="Q46" s="10" t="n"/>
      <c r="R46" s="10" t="n"/>
      <c r="S46" s="10" t="n"/>
      <c r="T46" s="10" t="n"/>
      <c r="U46" s="10" t="n"/>
      <c r="V46" s="10" t="n"/>
      <c r="W46" s="10" t="n"/>
      <c r="X46" s="12">
        <f>IFERROR(ABS(Q46-R46)/Dashboard!$B$9*Dashboard!$B$10*W46,"")</f>
        <v/>
      </c>
      <c r="Y46" s="13">
        <f>IFERROR(IF(N46="Long",U46-Q46,IF(N46="Short",Q46-U46,"")),"")</f>
        <v/>
      </c>
      <c r="Z46" s="13">
        <f>IFERROR(Y46/Dashboard!$B$9,"")</f>
        <v/>
      </c>
      <c r="AA46" s="12">
        <f>IFERROR(Z46*Dashboard!$B$10*W46,"")</f>
        <v/>
      </c>
      <c r="AB46" s="14">
        <f>IFERROR(AA46/X46,"")</f>
        <v/>
      </c>
      <c r="AC46" s="10">
        <f>IF(AA46="","",IF(AA46&gt;0,1,0))</f>
        <v/>
      </c>
      <c r="AD46" s="12">
        <f>AD45+IF(AA46="",0,AA46)</f>
        <v/>
      </c>
      <c r="AE46" s="12">
        <f>MAX(AE45,AD46)</f>
        <v/>
      </c>
      <c r="AF46" s="12">
        <f>AE46-AD46</f>
        <v/>
      </c>
      <c r="AG46" s="10" t="n"/>
    </row>
    <row r="47">
      <c r="A47" s="10">
        <f>ROW()-2</f>
        <v/>
      </c>
      <c r="B47" s="10" t="n"/>
      <c r="C47" s="10" t="n"/>
      <c r="D47" s="10" t="n"/>
      <c r="E47" s="10" t="n"/>
      <c r="F47" s="10" t="n"/>
      <c r="G47" s="10" t="n"/>
      <c r="H47" s="10" t="n"/>
      <c r="I47" s="13">
        <f>IFERROR(ABS(H47-G47),"")</f>
        <v/>
      </c>
      <c r="J47" s="10" t="n"/>
      <c r="K47" s="10" t="n"/>
      <c r="L47" s="10">
        <f>IF(K47="","",IF(K47&gt;=Dashboard!$B$11,"A+","B-"))</f>
        <v/>
      </c>
      <c r="M47" s="10" t="n"/>
      <c r="N47" s="10" t="n"/>
      <c r="O47" s="10">
        <f>IF(OR(N47="",F47=""),"",IF(OR(AND(F47="Up",N47="Long"),AND(F47="Down",N47="Short")),"OK","CHECK"))</f>
        <v/>
      </c>
      <c r="P47" s="10" t="n"/>
      <c r="Q47" s="10" t="n"/>
      <c r="R47" s="10" t="n"/>
      <c r="S47" s="10" t="n"/>
      <c r="T47" s="10" t="n"/>
      <c r="U47" s="10" t="n"/>
      <c r="V47" s="10" t="n"/>
      <c r="W47" s="10" t="n"/>
      <c r="X47" s="12">
        <f>IFERROR(ABS(Q47-R47)/Dashboard!$B$9*Dashboard!$B$10*W47,"")</f>
        <v/>
      </c>
      <c r="Y47" s="13">
        <f>IFERROR(IF(N47="Long",U47-Q47,IF(N47="Short",Q47-U47,"")),"")</f>
        <v/>
      </c>
      <c r="Z47" s="13">
        <f>IFERROR(Y47/Dashboard!$B$9,"")</f>
        <v/>
      </c>
      <c r="AA47" s="12">
        <f>IFERROR(Z47*Dashboard!$B$10*W47,"")</f>
        <v/>
      </c>
      <c r="AB47" s="14">
        <f>IFERROR(AA47/X47,"")</f>
        <v/>
      </c>
      <c r="AC47" s="10">
        <f>IF(AA47="","",IF(AA47&gt;0,1,0))</f>
        <v/>
      </c>
      <c r="AD47" s="12">
        <f>AD46+IF(AA47="",0,AA47)</f>
        <v/>
      </c>
      <c r="AE47" s="12">
        <f>MAX(AE46,AD47)</f>
        <v/>
      </c>
      <c r="AF47" s="12">
        <f>AE47-AD47</f>
        <v/>
      </c>
      <c r="AG47" s="10" t="n"/>
    </row>
    <row r="48">
      <c r="A48" s="10">
        <f>ROW()-2</f>
        <v/>
      </c>
      <c r="B48" s="10" t="n"/>
      <c r="C48" s="10" t="n"/>
      <c r="D48" s="10" t="n"/>
      <c r="E48" s="10" t="n"/>
      <c r="F48" s="10" t="n"/>
      <c r="G48" s="10" t="n"/>
      <c r="H48" s="10" t="n"/>
      <c r="I48" s="13">
        <f>IFERROR(ABS(H48-G48),"")</f>
        <v/>
      </c>
      <c r="J48" s="10" t="n"/>
      <c r="K48" s="10" t="n"/>
      <c r="L48" s="10">
        <f>IF(K48="","",IF(K48&gt;=Dashboard!$B$11,"A+","B-"))</f>
        <v/>
      </c>
      <c r="M48" s="10" t="n"/>
      <c r="N48" s="10" t="n"/>
      <c r="O48" s="10">
        <f>IF(OR(N48="",F48=""),"",IF(OR(AND(F48="Up",N48="Long"),AND(F48="Down",N48="Short")),"OK","CHECK"))</f>
        <v/>
      </c>
      <c r="P48" s="10" t="n"/>
      <c r="Q48" s="10" t="n"/>
      <c r="R48" s="10" t="n"/>
      <c r="S48" s="10" t="n"/>
      <c r="T48" s="10" t="n"/>
      <c r="U48" s="10" t="n"/>
      <c r="V48" s="10" t="n"/>
      <c r="W48" s="10" t="n"/>
      <c r="X48" s="12">
        <f>IFERROR(ABS(Q48-R48)/Dashboard!$B$9*Dashboard!$B$10*W48,"")</f>
        <v/>
      </c>
      <c r="Y48" s="13">
        <f>IFERROR(IF(N48="Long",U48-Q48,IF(N48="Short",Q48-U48,"")),"")</f>
        <v/>
      </c>
      <c r="Z48" s="13">
        <f>IFERROR(Y48/Dashboard!$B$9,"")</f>
        <v/>
      </c>
      <c r="AA48" s="12">
        <f>IFERROR(Z48*Dashboard!$B$10*W48,"")</f>
        <v/>
      </c>
      <c r="AB48" s="14">
        <f>IFERROR(AA48/X48,"")</f>
        <v/>
      </c>
      <c r="AC48" s="10">
        <f>IF(AA48="","",IF(AA48&gt;0,1,0))</f>
        <v/>
      </c>
      <c r="AD48" s="12">
        <f>AD47+IF(AA48="",0,AA48)</f>
        <v/>
      </c>
      <c r="AE48" s="12">
        <f>MAX(AE47,AD48)</f>
        <v/>
      </c>
      <c r="AF48" s="12">
        <f>AE48-AD48</f>
        <v/>
      </c>
      <c r="AG48" s="10" t="n"/>
    </row>
    <row r="49">
      <c r="A49" s="10">
        <f>ROW()-2</f>
        <v/>
      </c>
      <c r="B49" s="10" t="n"/>
      <c r="C49" s="10" t="n"/>
      <c r="D49" s="10" t="n"/>
      <c r="E49" s="10" t="n"/>
      <c r="F49" s="10" t="n"/>
      <c r="G49" s="10" t="n"/>
      <c r="H49" s="10" t="n"/>
      <c r="I49" s="13">
        <f>IFERROR(ABS(H49-G49),"")</f>
        <v/>
      </c>
      <c r="J49" s="10" t="n"/>
      <c r="K49" s="10" t="n"/>
      <c r="L49" s="10">
        <f>IF(K49="","",IF(K49&gt;=Dashboard!$B$11,"A+","B-"))</f>
        <v/>
      </c>
      <c r="M49" s="10" t="n"/>
      <c r="N49" s="10" t="n"/>
      <c r="O49" s="10">
        <f>IF(OR(N49="",F49=""),"",IF(OR(AND(F49="Up",N49="Long"),AND(F49="Down",N49="Short")),"OK","CHECK"))</f>
        <v/>
      </c>
      <c r="P49" s="10" t="n"/>
      <c r="Q49" s="10" t="n"/>
      <c r="R49" s="10" t="n"/>
      <c r="S49" s="10" t="n"/>
      <c r="T49" s="10" t="n"/>
      <c r="U49" s="10" t="n"/>
      <c r="V49" s="10" t="n"/>
      <c r="W49" s="10" t="n"/>
      <c r="X49" s="12">
        <f>IFERROR(ABS(Q49-R49)/Dashboard!$B$9*Dashboard!$B$10*W49,"")</f>
        <v/>
      </c>
      <c r="Y49" s="13">
        <f>IFERROR(IF(N49="Long",U49-Q49,IF(N49="Short",Q49-U49,"")),"")</f>
        <v/>
      </c>
      <c r="Z49" s="13">
        <f>IFERROR(Y49/Dashboard!$B$9,"")</f>
        <v/>
      </c>
      <c r="AA49" s="12">
        <f>IFERROR(Z49*Dashboard!$B$10*W49,"")</f>
        <v/>
      </c>
      <c r="AB49" s="14">
        <f>IFERROR(AA49/X49,"")</f>
        <v/>
      </c>
      <c r="AC49" s="10">
        <f>IF(AA49="","",IF(AA49&gt;0,1,0))</f>
        <v/>
      </c>
      <c r="AD49" s="12">
        <f>AD48+IF(AA49="",0,AA49)</f>
        <v/>
      </c>
      <c r="AE49" s="12">
        <f>MAX(AE48,AD49)</f>
        <v/>
      </c>
      <c r="AF49" s="12">
        <f>AE49-AD49</f>
        <v/>
      </c>
      <c r="AG49" s="10" t="n"/>
    </row>
    <row r="50">
      <c r="A50" s="10">
        <f>ROW()-2</f>
        <v/>
      </c>
      <c r="B50" s="10" t="n"/>
      <c r="C50" s="10" t="n"/>
      <c r="D50" s="10" t="n"/>
      <c r="E50" s="10" t="n"/>
      <c r="F50" s="10" t="n"/>
      <c r="G50" s="10" t="n"/>
      <c r="H50" s="10" t="n"/>
      <c r="I50" s="13">
        <f>IFERROR(ABS(H50-G50),"")</f>
        <v/>
      </c>
      <c r="J50" s="10" t="n"/>
      <c r="K50" s="10" t="n"/>
      <c r="L50" s="10">
        <f>IF(K50="","",IF(K50&gt;=Dashboard!$B$11,"A+","B-"))</f>
        <v/>
      </c>
      <c r="M50" s="10" t="n"/>
      <c r="N50" s="10" t="n"/>
      <c r="O50" s="10">
        <f>IF(OR(N50="",F50=""),"",IF(OR(AND(F50="Up",N50="Long"),AND(F50="Down",N50="Short")),"OK","CHECK"))</f>
        <v/>
      </c>
      <c r="P50" s="10" t="n"/>
      <c r="Q50" s="10" t="n"/>
      <c r="R50" s="10" t="n"/>
      <c r="S50" s="10" t="n"/>
      <c r="T50" s="10" t="n"/>
      <c r="U50" s="10" t="n"/>
      <c r="V50" s="10" t="n"/>
      <c r="W50" s="10" t="n"/>
      <c r="X50" s="12">
        <f>IFERROR(ABS(Q50-R50)/Dashboard!$B$9*Dashboard!$B$10*W50,"")</f>
        <v/>
      </c>
      <c r="Y50" s="13">
        <f>IFERROR(IF(N50="Long",U50-Q50,IF(N50="Short",Q50-U50,"")),"")</f>
        <v/>
      </c>
      <c r="Z50" s="13">
        <f>IFERROR(Y50/Dashboard!$B$9,"")</f>
        <v/>
      </c>
      <c r="AA50" s="12">
        <f>IFERROR(Z50*Dashboard!$B$10*W50,"")</f>
        <v/>
      </c>
      <c r="AB50" s="14">
        <f>IFERROR(AA50/X50,"")</f>
        <v/>
      </c>
      <c r="AC50" s="10">
        <f>IF(AA50="","",IF(AA50&gt;0,1,0))</f>
        <v/>
      </c>
      <c r="AD50" s="12">
        <f>AD49+IF(AA50="",0,AA50)</f>
        <v/>
      </c>
      <c r="AE50" s="12">
        <f>MAX(AE49,AD50)</f>
        <v/>
      </c>
      <c r="AF50" s="12">
        <f>AE50-AD50</f>
        <v/>
      </c>
      <c r="AG50" s="10" t="n"/>
    </row>
    <row r="51">
      <c r="A51" s="10">
        <f>ROW()-2</f>
        <v/>
      </c>
      <c r="B51" s="10" t="n"/>
      <c r="C51" s="10" t="n"/>
      <c r="D51" s="10" t="n"/>
      <c r="E51" s="10" t="n"/>
      <c r="F51" s="10" t="n"/>
      <c r="G51" s="10" t="n"/>
      <c r="H51" s="10" t="n"/>
      <c r="I51" s="13">
        <f>IFERROR(ABS(H51-G51),"")</f>
        <v/>
      </c>
      <c r="J51" s="10" t="n"/>
      <c r="K51" s="10" t="n"/>
      <c r="L51" s="10">
        <f>IF(K51="","",IF(K51&gt;=Dashboard!$B$11,"A+","B-"))</f>
        <v/>
      </c>
      <c r="M51" s="10" t="n"/>
      <c r="N51" s="10" t="n"/>
      <c r="O51" s="10">
        <f>IF(OR(N51="",F51=""),"",IF(OR(AND(F51="Up",N51="Long"),AND(F51="Down",N51="Short")),"OK","CHECK"))</f>
        <v/>
      </c>
      <c r="P51" s="10" t="n"/>
      <c r="Q51" s="10" t="n"/>
      <c r="R51" s="10" t="n"/>
      <c r="S51" s="10" t="n"/>
      <c r="T51" s="10" t="n"/>
      <c r="U51" s="10" t="n"/>
      <c r="V51" s="10" t="n"/>
      <c r="W51" s="10" t="n"/>
      <c r="X51" s="12">
        <f>IFERROR(ABS(Q51-R51)/Dashboard!$B$9*Dashboard!$B$10*W51,"")</f>
        <v/>
      </c>
      <c r="Y51" s="13">
        <f>IFERROR(IF(N51="Long",U51-Q51,IF(N51="Short",Q51-U51,"")),"")</f>
        <v/>
      </c>
      <c r="Z51" s="13">
        <f>IFERROR(Y51/Dashboard!$B$9,"")</f>
        <v/>
      </c>
      <c r="AA51" s="12">
        <f>IFERROR(Z51*Dashboard!$B$10*W51,"")</f>
        <v/>
      </c>
      <c r="AB51" s="14">
        <f>IFERROR(AA51/X51,"")</f>
        <v/>
      </c>
      <c r="AC51" s="10">
        <f>IF(AA51="","",IF(AA51&gt;0,1,0))</f>
        <v/>
      </c>
      <c r="AD51" s="12">
        <f>AD50+IF(AA51="",0,AA51)</f>
        <v/>
      </c>
      <c r="AE51" s="12">
        <f>MAX(AE50,AD51)</f>
        <v/>
      </c>
      <c r="AF51" s="12">
        <f>AE51-AD51</f>
        <v/>
      </c>
      <c r="AG51" s="10" t="n"/>
    </row>
    <row r="52">
      <c r="A52" s="10">
        <f>ROW()-2</f>
        <v/>
      </c>
      <c r="B52" s="10" t="n"/>
      <c r="C52" s="10" t="n"/>
      <c r="D52" s="10" t="n"/>
      <c r="E52" s="10" t="n"/>
      <c r="F52" s="10" t="n"/>
      <c r="G52" s="10" t="n"/>
      <c r="H52" s="10" t="n"/>
      <c r="I52" s="13">
        <f>IFERROR(ABS(H52-G52),"")</f>
        <v/>
      </c>
      <c r="J52" s="10" t="n"/>
      <c r="K52" s="10" t="n"/>
      <c r="L52" s="10">
        <f>IF(K52="","",IF(K52&gt;=Dashboard!$B$11,"A+","B-"))</f>
        <v/>
      </c>
      <c r="M52" s="10" t="n"/>
      <c r="N52" s="10" t="n"/>
      <c r="O52" s="10">
        <f>IF(OR(N52="",F52=""),"",IF(OR(AND(F52="Up",N52="Long"),AND(F52="Down",N52="Short")),"OK","CHECK"))</f>
        <v/>
      </c>
      <c r="P52" s="10" t="n"/>
      <c r="Q52" s="10" t="n"/>
      <c r="R52" s="10" t="n"/>
      <c r="S52" s="10" t="n"/>
      <c r="T52" s="10" t="n"/>
      <c r="U52" s="10" t="n"/>
      <c r="V52" s="10" t="n"/>
      <c r="W52" s="10" t="n"/>
      <c r="X52" s="12">
        <f>IFERROR(ABS(Q52-R52)/Dashboard!$B$9*Dashboard!$B$10*W52,"")</f>
        <v/>
      </c>
      <c r="Y52" s="13">
        <f>IFERROR(IF(N52="Long",U52-Q52,IF(N52="Short",Q52-U52,"")),"")</f>
        <v/>
      </c>
      <c r="Z52" s="13">
        <f>IFERROR(Y52/Dashboard!$B$9,"")</f>
        <v/>
      </c>
      <c r="AA52" s="12">
        <f>IFERROR(Z52*Dashboard!$B$10*W52,"")</f>
        <v/>
      </c>
      <c r="AB52" s="14">
        <f>IFERROR(AA52/X52,"")</f>
        <v/>
      </c>
      <c r="AC52" s="10">
        <f>IF(AA52="","",IF(AA52&gt;0,1,0))</f>
        <v/>
      </c>
      <c r="AD52" s="12">
        <f>AD51+IF(AA52="",0,AA52)</f>
        <v/>
      </c>
      <c r="AE52" s="12">
        <f>MAX(AE51,AD52)</f>
        <v/>
      </c>
      <c r="AF52" s="12">
        <f>AE52-AD52</f>
        <v/>
      </c>
      <c r="AG52" s="10" t="n"/>
    </row>
    <row r="53">
      <c r="A53" s="10">
        <f>ROW()-2</f>
        <v/>
      </c>
      <c r="B53" s="10" t="n"/>
      <c r="C53" s="10" t="n"/>
      <c r="D53" s="10" t="n"/>
      <c r="E53" s="10" t="n"/>
      <c r="F53" s="10" t="n"/>
      <c r="G53" s="10" t="n"/>
      <c r="H53" s="10" t="n"/>
      <c r="I53" s="13">
        <f>IFERROR(ABS(H53-G53),"")</f>
        <v/>
      </c>
      <c r="J53" s="10" t="n"/>
      <c r="K53" s="10" t="n"/>
      <c r="L53" s="10">
        <f>IF(K53="","",IF(K53&gt;=Dashboard!$B$11,"A+","B-"))</f>
        <v/>
      </c>
      <c r="M53" s="10" t="n"/>
      <c r="N53" s="10" t="n"/>
      <c r="O53" s="10">
        <f>IF(OR(N53="",F53=""),"",IF(OR(AND(F53="Up",N53="Long"),AND(F53="Down",N53="Short")),"OK","CHECK"))</f>
        <v/>
      </c>
      <c r="P53" s="10" t="n"/>
      <c r="Q53" s="10" t="n"/>
      <c r="R53" s="10" t="n"/>
      <c r="S53" s="10" t="n"/>
      <c r="T53" s="10" t="n"/>
      <c r="U53" s="10" t="n"/>
      <c r="V53" s="10" t="n"/>
      <c r="W53" s="10" t="n"/>
      <c r="X53" s="12">
        <f>IFERROR(ABS(Q53-R53)/Dashboard!$B$9*Dashboard!$B$10*W53,"")</f>
        <v/>
      </c>
      <c r="Y53" s="13">
        <f>IFERROR(IF(N53="Long",U53-Q53,IF(N53="Short",Q53-U53,"")),"")</f>
        <v/>
      </c>
      <c r="Z53" s="13">
        <f>IFERROR(Y53/Dashboard!$B$9,"")</f>
        <v/>
      </c>
      <c r="AA53" s="12">
        <f>IFERROR(Z53*Dashboard!$B$10*W53,"")</f>
        <v/>
      </c>
      <c r="AB53" s="14">
        <f>IFERROR(AA53/X53,"")</f>
        <v/>
      </c>
      <c r="AC53" s="10">
        <f>IF(AA53="","",IF(AA53&gt;0,1,0))</f>
        <v/>
      </c>
      <c r="AD53" s="12">
        <f>AD52+IF(AA53="",0,AA53)</f>
        <v/>
      </c>
      <c r="AE53" s="12">
        <f>MAX(AE52,AD53)</f>
        <v/>
      </c>
      <c r="AF53" s="12">
        <f>AE53-AD53</f>
        <v/>
      </c>
      <c r="AG53" s="10" t="n"/>
    </row>
    <row r="54">
      <c r="A54" s="10">
        <f>ROW()-2</f>
        <v/>
      </c>
      <c r="B54" s="10" t="n"/>
      <c r="C54" s="10" t="n"/>
      <c r="D54" s="10" t="n"/>
      <c r="E54" s="10" t="n"/>
      <c r="F54" s="10" t="n"/>
      <c r="G54" s="10" t="n"/>
      <c r="H54" s="10" t="n"/>
      <c r="I54" s="13">
        <f>IFERROR(ABS(H54-G54),"")</f>
        <v/>
      </c>
      <c r="J54" s="10" t="n"/>
      <c r="K54" s="10" t="n"/>
      <c r="L54" s="10">
        <f>IF(K54="","",IF(K54&gt;=Dashboard!$B$11,"A+","B-"))</f>
        <v/>
      </c>
      <c r="M54" s="10" t="n"/>
      <c r="N54" s="10" t="n"/>
      <c r="O54" s="10">
        <f>IF(OR(N54="",F54=""),"",IF(OR(AND(F54="Up",N54="Long"),AND(F54="Down",N54="Short")),"OK","CHECK"))</f>
        <v/>
      </c>
      <c r="P54" s="10" t="n"/>
      <c r="Q54" s="10" t="n"/>
      <c r="R54" s="10" t="n"/>
      <c r="S54" s="10" t="n"/>
      <c r="T54" s="10" t="n"/>
      <c r="U54" s="10" t="n"/>
      <c r="V54" s="10" t="n"/>
      <c r="W54" s="10" t="n"/>
      <c r="X54" s="12">
        <f>IFERROR(ABS(Q54-R54)/Dashboard!$B$9*Dashboard!$B$10*W54,"")</f>
        <v/>
      </c>
      <c r="Y54" s="13">
        <f>IFERROR(IF(N54="Long",U54-Q54,IF(N54="Short",Q54-U54,"")),"")</f>
        <v/>
      </c>
      <c r="Z54" s="13">
        <f>IFERROR(Y54/Dashboard!$B$9,"")</f>
        <v/>
      </c>
      <c r="AA54" s="12">
        <f>IFERROR(Z54*Dashboard!$B$10*W54,"")</f>
        <v/>
      </c>
      <c r="AB54" s="14">
        <f>IFERROR(AA54/X54,"")</f>
        <v/>
      </c>
      <c r="AC54" s="10">
        <f>IF(AA54="","",IF(AA54&gt;0,1,0))</f>
        <v/>
      </c>
      <c r="AD54" s="12">
        <f>AD53+IF(AA54="",0,AA54)</f>
        <v/>
      </c>
      <c r="AE54" s="12">
        <f>MAX(AE53,AD54)</f>
        <v/>
      </c>
      <c r="AF54" s="12">
        <f>AE54-AD54</f>
        <v/>
      </c>
      <c r="AG54" s="10" t="n"/>
    </row>
    <row r="55">
      <c r="A55" s="10">
        <f>ROW()-2</f>
        <v/>
      </c>
      <c r="B55" s="10" t="n"/>
      <c r="C55" s="10" t="n"/>
      <c r="D55" s="10" t="n"/>
      <c r="E55" s="10" t="n"/>
      <c r="F55" s="10" t="n"/>
      <c r="G55" s="10" t="n"/>
      <c r="H55" s="10" t="n"/>
      <c r="I55" s="13">
        <f>IFERROR(ABS(H55-G55),"")</f>
        <v/>
      </c>
      <c r="J55" s="10" t="n"/>
      <c r="K55" s="10" t="n"/>
      <c r="L55" s="10">
        <f>IF(K55="","",IF(K55&gt;=Dashboard!$B$11,"A+","B-"))</f>
        <v/>
      </c>
      <c r="M55" s="10" t="n"/>
      <c r="N55" s="10" t="n"/>
      <c r="O55" s="10">
        <f>IF(OR(N55="",F55=""),"",IF(OR(AND(F55="Up",N55="Long"),AND(F55="Down",N55="Short")),"OK","CHECK"))</f>
        <v/>
      </c>
      <c r="P55" s="10" t="n"/>
      <c r="Q55" s="10" t="n"/>
      <c r="R55" s="10" t="n"/>
      <c r="S55" s="10" t="n"/>
      <c r="T55" s="10" t="n"/>
      <c r="U55" s="10" t="n"/>
      <c r="V55" s="10" t="n"/>
      <c r="W55" s="10" t="n"/>
      <c r="X55" s="12">
        <f>IFERROR(ABS(Q55-R55)/Dashboard!$B$9*Dashboard!$B$10*W55,"")</f>
        <v/>
      </c>
      <c r="Y55" s="13">
        <f>IFERROR(IF(N55="Long",U55-Q55,IF(N55="Short",Q55-U55,"")),"")</f>
        <v/>
      </c>
      <c r="Z55" s="13">
        <f>IFERROR(Y55/Dashboard!$B$9,"")</f>
        <v/>
      </c>
      <c r="AA55" s="12">
        <f>IFERROR(Z55*Dashboard!$B$10*W55,"")</f>
        <v/>
      </c>
      <c r="AB55" s="14">
        <f>IFERROR(AA55/X55,"")</f>
        <v/>
      </c>
      <c r="AC55" s="10">
        <f>IF(AA55="","",IF(AA55&gt;0,1,0))</f>
        <v/>
      </c>
      <c r="AD55" s="12">
        <f>AD54+IF(AA55="",0,AA55)</f>
        <v/>
      </c>
      <c r="AE55" s="12">
        <f>MAX(AE54,AD55)</f>
        <v/>
      </c>
      <c r="AF55" s="12">
        <f>AE55-AD55</f>
        <v/>
      </c>
      <c r="AG55" s="10" t="n"/>
    </row>
    <row r="56">
      <c r="A56" s="10">
        <f>ROW()-2</f>
        <v/>
      </c>
      <c r="B56" s="10" t="n"/>
      <c r="C56" s="10" t="n"/>
      <c r="D56" s="10" t="n"/>
      <c r="E56" s="10" t="n"/>
      <c r="F56" s="10" t="n"/>
      <c r="G56" s="10" t="n"/>
      <c r="H56" s="10" t="n"/>
      <c r="I56" s="13">
        <f>IFERROR(ABS(H56-G56),"")</f>
        <v/>
      </c>
      <c r="J56" s="10" t="n"/>
      <c r="K56" s="10" t="n"/>
      <c r="L56" s="10">
        <f>IF(K56="","",IF(K56&gt;=Dashboard!$B$11,"A+","B-"))</f>
        <v/>
      </c>
      <c r="M56" s="10" t="n"/>
      <c r="N56" s="10" t="n"/>
      <c r="O56" s="10">
        <f>IF(OR(N56="",F56=""),"",IF(OR(AND(F56="Up",N56="Long"),AND(F56="Down",N56="Short")),"OK","CHECK"))</f>
        <v/>
      </c>
      <c r="P56" s="10" t="n"/>
      <c r="Q56" s="10" t="n"/>
      <c r="R56" s="10" t="n"/>
      <c r="S56" s="10" t="n"/>
      <c r="T56" s="10" t="n"/>
      <c r="U56" s="10" t="n"/>
      <c r="V56" s="10" t="n"/>
      <c r="W56" s="10" t="n"/>
      <c r="X56" s="12">
        <f>IFERROR(ABS(Q56-R56)/Dashboard!$B$9*Dashboard!$B$10*W56,"")</f>
        <v/>
      </c>
      <c r="Y56" s="13">
        <f>IFERROR(IF(N56="Long",U56-Q56,IF(N56="Short",Q56-U56,"")),"")</f>
        <v/>
      </c>
      <c r="Z56" s="13">
        <f>IFERROR(Y56/Dashboard!$B$9,"")</f>
        <v/>
      </c>
      <c r="AA56" s="12">
        <f>IFERROR(Z56*Dashboard!$B$10*W56,"")</f>
        <v/>
      </c>
      <c r="AB56" s="14">
        <f>IFERROR(AA56/X56,"")</f>
        <v/>
      </c>
      <c r="AC56" s="10">
        <f>IF(AA56="","",IF(AA56&gt;0,1,0))</f>
        <v/>
      </c>
      <c r="AD56" s="12">
        <f>AD55+IF(AA56="",0,AA56)</f>
        <v/>
      </c>
      <c r="AE56" s="12">
        <f>MAX(AE55,AD56)</f>
        <v/>
      </c>
      <c r="AF56" s="12">
        <f>AE56-AD56</f>
        <v/>
      </c>
      <c r="AG56" s="10" t="n"/>
    </row>
    <row r="57">
      <c r="A57" s="10">
        <f>ROW()-2</f>
        <v/>
      </c>
      <c r="B57" s="10" t="n"/>
      <c r="C57" s="10" t="n"/>
      <c r="D57" s="10" t="n"/>
      <c r="E57" s="10" t="n"/>
      <c r="F57" s="10" t="n"/>
      <c r="G57" s="10" t="n"/>
      <c r="H57" s="10" t="n"/>
      <c r="I57" s="13">
        <f>IFERROR(ABS(H57-G57),"")</f>
        <v/>
      </c>
      <c r="J57" s="10" t="n"/>
      <c r="K57" s="10" t="n"/>
      <c r="L57" s="10">
        <f>IF(K57="","",IF(K57&gt;=Dashboard!$B$11,"A+","B-"))</f>
        <v/>
      </c>
      <c r="M57" s="10" t="n"/>
      <c r="N57" s="10" t="n"/>
      <c r="O57" s="10">
        <f>IF(OR(N57="",F57=""),"",IF(OR(AND(F57="Up",N57="Long"),AND(F57="Down",N57="Short")),"OK","CHECK"))</f>
        <v/>
      </c>
      <c r="P57" s="10" t="n"/>
      <c r="Q57" s="10" t="n"/>
      <c r="R57" s="10" t="n"/>
      <c r="S57" s="10" t="n"/>
      <c r="T57" s="10" t="n"/>
      <c r="U57" s="10" t="n"/>
      <c r="V57" s="10" t="n"/>
      <c r="W57" s="10" t="n"/>
      <c r="X57" s="12">
        <f>IFERROR(ABS(Q57-R57)/Dashboard!$B$9*Dashboard!$B$10*W57,"")</f>
        <v/>
      </c>
      <c r="Y57" s="13">
        <f>IFERROR(IF(N57="Long",U57-Q57,IF(N57="Short",Q57-U57,"")),"")</f>
        <v/>
      </c>
      <c r="Z57" s="13">
        <f>IFERROR(Y57/Dashboard!$B$9,"")</f>
        <v/>
      </c>
      <c r="AA57" s="12">
        <f>IFERROR(Z57*Dashboard!$B$10*W57,"")</f>
        <v/>
      </c>
      <c r="AB57" s="14">
        <f>IFERROR(AA57/X57,"")</f>
        <v/>
      </c>
      <c r="AC57" s="10">
        <f>IF(AA57="","",IF(AA57&gt;0,1,0))</f>
        <v/>
      </c>
      <c r="AD57" s="12">
        <f>AD56+IF(AA57="",0,AA57)</f>
        <v/>
      </c>
      <c r="AE57" s="12">
        <f>MAX(AE56,AD57)</f>
        <v/>
      </c>
      <c r="AF57" s="12">
        <f>AE57-AD57</f>
        <v/>
      </c>
      <c r="AG57" s="10" t="n"/>
    </row>
    <row r="58">
      <c r="A58" s="10">
        <f>ROW()-2</f>
        <v/>
      </c>
      <c r="B58" s="10" t="n"/>
      <c r="C58" s="10" t="n"/>
      <c r="D58" s="10" t="n"/>
      <c r="E58" s="10" t="n"/>
      <c r="F58" s="10" t="n"/>
      <c r="G58" s="10" t="n"/>
      <c r="H58" s="10" t="n"/>
      <c r="I58" s="13">
        <f>IFERROR(ABS(H58-G58),"")</f>
        <v/>
      </c>
      <c r="J58" s="10" t="n"/>
      <c r="K58" s="10" t="n"/>
      <c r="L58" s="10">
        <f>IF(K58="","",IF(K58&gt;=Dashboard!$B$11,"A+","B-"))</f>
        <v/>
      </c>
      <c r="M58" s="10" t="n"/>
      <c r="N58" s="10" t="n"/>
      <c r="O58" s="10">
        <f>IF(OR(N58="",F58=""),"",IF(OR(AND(F58="Up",N58="Long"),AND(F58="Down",N58="Short")),"OK","CHECK"))</f>
        <v/>
      </c>
      <c r="P58" s="10" t="n"/>
      <c r="Q58" s="10" t="n"/>
      <c r="R58" s="10" t="n"/>
      <c r="S58" s="10" t="n"/>
      <c r="T58" s="10" t="n"/>
      <c r="U58" s="10" t="n"/>
      <c r="V58" s="10" t="n"/>
      <c r="W58" s="10" t="n"/>
      <c r="X58" s="12">
        <f>IFERROR(ABS(Q58-R58)/Dashboard!$B$9*Dashboard!$B$10*W58,"")</f>
        <v/>
      </c>
      <c r="Y58" s="13">
        <f>IFERROR(IF(N58="Long",U58-Q58,IF(N58="Short",Q58-U58,"")),"")</f>
        <v/>
      </c>
      <c r="Z58" s="13">
        <f>IFERROR(Y58/Dashboard!$B$9,"")</f>
        <v/>
      </c>
      <c r="AA58" s="12">
        <f>IFERROR(Z58*Dashboard!$B$10*W58,"")</f>
        <v/>
      </c>
      <c r="AB58" s="14">
        <f>IFERROR(AA58/X58,"")</f>
        <v/>
      </c>
      <c r="AC58" s="10">
        <f>IF(AA58="","",IF(AA58&gt;0,1,0))</f>
        <v/>
      </c>
      <c r="AD58" s="12">
        <f>AD57+IF(AA58="",0,AA58)</f>
        <v/>
      </c>
      <c r="AE58" s="12">
        <f>MAX(AE57,AD58)</f>
        <v/>
      </c>
      <c r="AF58" s="12">
        <f>AE58-AD58</f>
        <v/>
      </c>
      <c r="AG58" s="10" t="n"/>
    </row>
    <row r="59">
      <c r="A59" s="10">
        <f>ROW()-2</f>
        <v/>
      </c>
      <c r="B59" s="10" t="n"/>
      <c r="C59" s="10" t="n"/>
      <c r="D59" s="10" t="n"/>
      <c r="E59" s="10" t="n"/>
      <c r="F59" s="10" t="n"/>
      <c r="G59" s="10" t="n"/>
      <c r="H59" s="10" t="n"/>
      <c r="I59" s="13">
        <f>IFERROR(ABS(H59-G59),"")</f>
        <v/>
      </c>
      <c r="J59" s="10" t="n"/>
      <c r="K59" s="10" t="n"/>
      <c r="L59" s="10">
        <f>IF(K59="","",IF(K59&gt;=Dashboard!$B$11,"A+","B-"))</f>
        <v/>
      </c>
      <c r="M59" s="10" t="n"/>
      <c r="N59" s="10" t="n"/>
      <c r="O59" s="10">
        <f>IF(OR(N59="",F59=""),"",IF(OR(AND(F59="Up",N59="Long"),AND(F59="Down",N59="Short")),"OK","CHECK"))</f>
        <v/>
      </c>
      <c r="P59" s="10" t="n"/>
      <c r="Q59" s="10" t="n"/>
      <c r="R59" s="10" t="n"/>
      <c r="S59" s="10" t="n"/>
      <c r="T59" s="10" t="n"/>
      <c r="U59" s="10" t="n"/>
      <c r="V59" s="10" t="n"/>
      <c r="W59" s="10" t="n"/>
      <c r="X59" s="12">
        <f>IFERROR(ABS(Q59-R59)/Dashboard!$B$9*Dashboard!$B$10*W59,"")</f>
        <v/>
      </c>
      <c r="Y59" s="13">
        <f>IFERROR(IF(N59="Long",U59-Q59,IF(N59="Short",Q59-U59,"")),"")</f>
        <v/>
      </c>
      <c r="Z59" s="13">
        <f>IFERROR(Y59/Dashboard!$B$9,"")</f>
        <v/>
      </c>
      <c r="AA59" s="12">
        <f>IFERROR(Z59*Dashboard!$B$10*W59,"")</f>
        <v/>
      </c>
      <c r="AB59" s="14">
        <f>IFERROR(AA59/X59,"")</f>
        <v/>
      </c>
      <c r="AC59" s="10">
        <f>IF(AA59="","",IF(AA59&gt;0,1,0))</f>
        <v/>
      </c>
      <c r="AD59" s="12">
        <f>AD58+IF(AA59="",0,AA59)</f>
        <v/>
      </c>
      <c r="AE59" s="12">
        <f>MAX(AE58,AD59)</f>
        <v/>
      </c>
      <c r="AF59" s="12">
        <f>AE59-AD59</f>
        <v/>
      </c>
      <c r="AG59" s="10" t="n"/>
    </row>
    <row r="60">
      <c r="A60" s="10">
        <f>ROW()-2</f>
        <v/>
      </c>
      <c r="B60" s="10" t="n"/>
      <c r="C60" s="10" t="n"/>
      <c r="D60" s="10" t="n"/>
      <c r="E60" s="10" t="n"/>
      <c r="F60" s="10" t="n"/>
      <c r="G60" s="10" t="n"/>
      <c r="H60" s="10" t="n"/>
      <c r="I60" s="13">
        <f>IFERROR(ABS(H60-G60),"")</f>
        <v/>
      </c>
      <c r="J60" s="10" t="n"/>
      <c r="K60" s="10" t="n"/>
      <c r="L60" s="10">
        <f>IF(K60="","",IF(K60&gt;=Dashboard!$B$11,"A+","B-"))</f>
        <v/>
      </c>
      <c r="M60" s="10" t="n"/>
      <c r="N60" s="10" t="n"/>
      <c r="O60" s="10">
        <f>IF(OR(N60="",F60=""),"",IF(OR(AND(F60="Up",N60="Long"),AND(F60="Down",N60="Short")),"OK","CHECK"))</f>
        <v/>
      </c>
      <c r="P60" s="10" t="n"/>
      <c r="Q60" s="10" t="n"/>
      <c r="R60" s="10" t="n"/>
      <c r="S60" s="10" t="n"/>
      <c r="T60" s="10" t="n"/>
      <c r="U60" s="10" t="n"/>
      <c r="V60" s="10" t="n"/>
      <c r="W60" s="10" t="n"/>
      <c r="X60" s="12">
        <f>IFERROR(ABS(Q60-R60)/Dashboard!$B$9*Dashboard!$B$10*W60,"")</f>
        <v/>
      </c>
      <c r="Y60" s="13">
        <f>IFERROR(IF(N60="Long",U60-Q60,IF(N60="Short",Q60-U60,"")),"")</f>
        <v/>
      </c>
      <c r="Z60" s="13">
        <f>IFERROR(Y60/Dashboard!$B$9,"")</f>
        <v/>
      </c>
      <c r="AA60" s="12">
        <f>IFERROR(Z60*Dashboard!$B$10*W60,"")</f>
        <v/>
      </c>
      <c r="AB60" s="14">
        <f>IFERROR(AA60/X60,"")</f>
        <v/>
      </c>
      <c r="AC60" s="10">
        <f>IF(AA60="","",IF(AA60&gt;0,1,0))</f>
        <v/>
      </c>
      <c r="AD60" s="12">
        <f>AD59+IF(AA60="",0,AA60)</f>
        <v/>
      </c>
      <c r="AE60" s="12">
        <f>MAX(AE59,AD60)</f>
        <v/>
      </c>
      <c r="AF60" s="12">
        <f>AE60-AD60</f>
        <v/>
      </c>
      <c r="AG60" s="10" t="n"/>
    </row>
    <row r="61">
      <c r="A61" s="10">
        <f>ROW()-2</f>
        <v/>
      </c>
      <c r="B61" s="10" t="n"/>
      <c r="C61" s="10" t="n"/>
      <c r="D61" s="10" t="n"/>
      <c r="E61" s="10" t="n"/>
      <c r="F61" s="10" t="n"/>
      <c r="G61" s="10" t="n"/>
      <c r="H61" s="10" t="n"/>
      <c r="I61" s="13">
        <f>IFERROR(ABS(H61-G61),"")</f>
        <v/>
      </c>
      <c r="J61" s="10" t="n"/>
      <c r="K61" s="10" t="n"/>
      <c r="L61" s="10">
        <f>IF(K61="","",IF(K61&gt;=Dashboard!$B$11,"A+","B-"))</f>
        <v/>
      </c>
      <c r="M61" s="10" t="n"/>
      <c r="N61" s="10" t="n"/>
      <c r="O61" s="10">
        <f>IF(OR(N61="",F61=""),"",IF(OR(AND(F61="Up",N61="Long"),AND(F61="Down",N61="Short")),"OK","CHECK"))</f>
        <v/>
      </c>
      <c r="P61" s="10" t="n"/>
      <c r="Q61" s="10" t="n"/>
      <c r="R61" s="10" t="n"/>
      <c r="S61" s="10" t="n"/>
      <c r="T61" s="10" t="n"/>
      <c r="U61" s="10" t="n"/>
      <c r="V61" s="10" t="n"/>
      <c r="W61" s="10" t="n"/>
      <c r="X61" s="12">
        <f>IFERROR(ABS(Q61-R61)/Dashboard!$B$9*Dashboard!$B$10*W61,"")</f>
        <v/>
      </c>
      <c r="Y61" s="13">
        <f>IFERROR(IF(N61="Long",U61-Q61,IF(N61="Short",Q61-U61,"")),"")</f>
        <v/>
      </c>
      <c r="Z61" s="13">
        <f>IFERROR(Y61/Dashboard!$B$9,"")</f>
        <v/>
      </c>
      <c r="AA61" s="12">
        <f>IFERROR(Z61*Dashboard!$B$10*W61,"")</f>
        <v/>
      </c>
      <c r="AB61" s="14">
        <f>IFERROR(AA61/X61,"")</f>
        <v/>
      </c>
      <c r="AC61" s="10">
        <f>IF(AA61="","",IF(AA61&gt;0,1,0))</f>
        <v/>
      </c>
      <c r="AD61" s="12">
        <f>AD60+IF(AA61="",0,AA61)</f>
        <v/>
      </c>
      <c r="AE61" s="12">
        <f>MAX(AE60,AD61)</f>
        <v/>
      </c>
      <c r="AF61" s="12">
        <f>AE61-AD61</f>
        <v/>
      </c>
      <c r="AG61" s="10" t="n"/>
    </row>
    <row r="62">
      <c r="A62" s="10">
        <f>ROW()-2</f>
        <v/>
      </c>
      <c r="B62" s="10" t="n"/>
      <c r="C62" s="10" t="n"/>
      <c r="D62" s="10" t="n"/>
      <c r="E62" s="10" t="n"/>
      <c r="F62" s="10" t="n"/>
      <c r="G62" s="10" t="n"/>
      <c r="H62" s="10" t="n"/>
      <c r="I62" s="13">
        <f>IFERROR(ABS(H62-G62),"")</f>
        <v/>
      </c>
      <c r="J62" s="10" t="n"/>
      <c r="K62" s="10" t="n"/>
      <c r="L62" s="10">
        <f>IF(K62="","",IF(K62&gt;=Dashboard!$B$11,"A+","B-"))</f>
        <v/>
      </c>
      <c r="M62" s="10" t="n"/>
      <c r="N62" s="10" t="n"/>
      <c r="O62" s="10">
        <f>IF(OR(N62="",F62=""),"",IF(OR(AND(F62="Up",N62="Long"),AND(F62="Down",N62="Short")),"OK","CHECK"))</f>
        <v/>
      </c>
      <c r="P62" s="10" t="n"/>
      <c r="Q62" s="10" t="n"/>
      <c r="R62" s="10" t="n"/>
      <c r="S62" s="10" t="n"/>
      <c r="T62" s="10" t="n"/>
      <c r="U62" s="10" t="n"/>
      <c r="V62" s="10" t="n"/>
      <c r="W62" s="10" t="n"/>
      <c r="X62" s="12">
        <f>IFERROR(ABS(Q62-R62)/Dashboard!$B$9*Dashboard!$B$10*W62,"")</f>
        <v/>
      </c>
      <c r="Y62" s="13">
        <f>IFERROR(IF(N62="Long",U62-Q62,IF(N62="Short",Q62-U62,"")),"")</f>
        <v/>
      </c>
      <c r="Z62" s="13">
        <f>IFERROR(Y62/Dashboard!$B$9,"")</f>
        <v/>
      </c>
      <c r="AA62" s="12">
        <f>IFERROR(Z62*Dashboard!$B$10*W62,"")</f>
        <v/>
      </c>
      <c r="AB62" s="14">
        <f>IFERROR(AA62/X62,"")</f>
        <v/>
      </c>
      <c r="AC62" s="10">
        <f>IF(AA62="","",IF(AA62&gt;0,1,0))</f>
        <v/>
      </c>
      <c r="AD62" s="12">
        <f>AD61+IF(AA62="",0,AA62)</f>
        <v/>
      </c>
      <c r="AE62" s="12">
        <f>MAX(AE61,AD62)</f>
        <v/>
      </c>
      <c r="AF62" s="12">
        <f>AE62-AD62</f>
        <v/>
      </c>
      <c r="AG62" s="10" t="n"/>
    </row>
    <row r="63">
      <c r="A63" s="10">
        <f>ROW()-2</f>
        <v/>
      </c>
      <c r="B63" s="10" t="n"/>
      <c r="C63" s="10" t="n"/>
      <c r="D63" s="10" t="n"/>
      <c r="E63" s="10" t="n"/>
      <c r="F63" s="10" t="n"/>
      <c r="G63" s="10" t="n"/>
      <c r="H63" s="10" t="n"/>
      <c r="I63" s="13">
        <f>IFERROR(ABS(H63-G63),"")</f>
        <v/>
      </c>
      <c r="J63" s="10" t="n"/>
      <c r="K63" s="10" t="n"/>
      <c r="L63" s="10">
        <f>IF(K63="","",IF(K63&gt;=Dashboard!$B$11,"A+","B-"))</f>
        <v/>
      </c>
      <c r="M63" s="10" t="n"/>
      <c r="N63" s="10" t="n"/>
      <c r="O63" s="10">
        <f>IF(OR(N63="",F63=""),"",IF(OR(AND(F63="Up",N63="Long"),AND(F63="Down",N63="Short")),"OK","CHECK"))</f>
        <v/>
      </c>
      <c r="P63" s="10" t="n"/>
      <c r="Q63" s="10" t="n"/>
      <c r="R63" s="10" t="n"/>
      <c r="S63" s="10" t="n"/>
      <c r="T63" s="10" t="n"/>
      <c r="U63" s="10" t="n"/>
      <c r="V63" s="10" t="n"/>
      <c r="W63" s="10" t="n"/>
      <c r="X63" s="12">
        <f>IFERROR(ABS(Q63-R63)/Dashboard!$B$9*Dashboard!$B$10*W63,"")</f>
        <v/>
      </c>
      <c r="Y63" s="13">
        <f>IFERROR(IF(N63="Long",U63-Q63,IF(N63="Short",Q63-U63,"")),"")</f>
        <v/>
      </c>
      <c r="Z63" s="13">
        <f>IFERROR(Y63/Dashboard!$B$9,"")</f>
        <v/>
      </c>
      <c r="AA63" s="12">
        <f>IFERROR(Z63*Dashboard!$B$10*W63,"")</f>
        <v/>
      </c>
      <c r="AB63" s="14">
        <f>IFERROR(AA63/X63,"")</f>
        <v/>
      </c>
      <c r="AC63" s="10">
        <f>IF(AA63="","",IF(AA63&gt;0,1,0))</f>
        <v/>
      </c>
      <c r="AD63" s="12">
        <f>AD62+IF(AA63="",0,AA63)</f>
        <v/>
      </c>
      <c r="AE63" s="12">
        <f>MAX(AE62,AD63)</f>
        <v/>
      </c>
      <c r="AF63" s="12">
        <f>AE63-AD63</f>
        <v/>
      </c>
      <c r="AG63" s="10" t="n"/>
    </row>
    <row r="64">
      <c r="A64" s="10">
        <f>ROW()-2</f>
        <v/>
      </c>
      <c r="B64" s="10" t="n"/>
      <c r="C64" s="10" t="n"/>
      <c r="D64" s="10" t="n"/>
      <c r="E64" s="10" t="n"/>
      <c r="F64" s="10" t="n"/>
      <c r="G64" s="10" t="n"/>
      <c r="H64" s="10" t="n"/>
      <c r="I64" s="13">
        <f>IFERROR(ABS(H64-G64),"")</f>
        <v/>
      </c>
      <c r="J64" s="10" t="n"/>
      <c r="K64" s="10" t="n"/>
      <c r="L64" s="10">
        <f>IF(K64="","",IF(K64&gt;=Dashboard!$B$11,"A+","B-"))</f>
        <v/>
      </c>
      <c r="M64" s="10" t="n"/>
      <c r="N64" s="10" t="n"/>
      <c r="O64" s="10">
        <f>IF(OR(N64="",F64=""),"",IF(OR(AND(F64="Up",N64="Long"),AND(F64="Down",N64="Short")),"OK","CHECK"))</f>
        <v/>
      </c>
      <c r="P64" s="10" t="n"/>
      <c r="Q64" s="10" t="n"/>
      <c r="R64" s="10" t="n"/>
      <c r="S64" s="10" t="n"/>
      <c r="T64" s="10" t="n"/>
      <c r="U64" s="10" t="n"/>
      <c r="V64" s="10" t="n"/>
      <c r="W64" s="10" t="n"/>
      <c r="X64" s="12">
        <f>IFERROR(ABS(Q64-R64)/Dashboard!$B$9*Dashboard!$B$10*W64,"")</f>
        <v/>
      </c>
      <c r="Y64" s="13">
        <f>IFERROR(IF(N64="Long",U64-Q64,IF(N64="Short",Q64-U64,"")),"")</f>
        <v/>
      </c>
      <c r="Z64" s="13">
        <f>IFERROR(Y64/Dashboard!$B$9,"")</f>
        <v/>
      </c>
      <c r="AA64" s="12">
        <f>IFERROR(Z64*Dashboard!$B$10*W64,"")</f>
        <v/>
      </c>
      <c r="AB64" s="14">
        <f>IFERROR(AA64/X64,"")</f>
        <v/>
      </c>
      <c r="AC64" s="10">
        <f>IF(AA64="","",IF(AA64&gt;0,1,0))</f>
        <v/>
      </c>
      <c r="AD64" s="12">
        <f>AD63+IF(AA64="",0,AA64)</f>
        <v/>
      </c>
      <c r="AE64" s="12">
        <f>MAX(AE63,AD64)</f>
        <v/>
      </c>
      <c r="AF64" s="12">
        <f>AE64-AD64</f>
        <v/>
      </c>
      <c r="AG64" s="10" t="n"/>
    </row>
    <row r="65">
      <c r="A65" s="10">
        <f>ROW()-2</f>
        <v/>
      </c>
      <c r="B65" s="10" t="n"/>
      <c r="C65" s="10" t="n"/>
      <c r="D65" s="10" t="n"/>
      <c r="E65" s="10" t="n"/>
      <c r="F65" s="10" t="n"/>
      <c r="G65" s="10" t="n"/>
      <c r="H65" s="10" t="n"/>
      <c r="I65" s="13">
        <f>IFERROR(ABS(H65-G65),"")</f>
        <v/>
      </c>
      <c r="J65" s="10" t="n"/>
      <c r="K65" s="10" t="n"/>
      <c r="L65" s="10">
        <f>IF(K65="","",IF(K65&gt;=Dashboard!$B$11,"A+","B-"))</f>
        <v/>
      </c>
      <c r="M65" s="10" t="n"/>
      <c r="N65" s="10" t="n"/>
      <c r="O65" s="10">
        <f>IF(OR(N65="",F65=""),"",IF(OR(AND(F65="Up",N65="Long"),AND(F65="Down",N65="Short")),"OK","CHECK"))</f>
        <v/>
      </c>
      <c r="P65" s="10" t="n"/>
      <c r="Q65" s="10" t="n"/>
      <c r="R65" s="10" t="n"/>
      <c r="S65" s="10" t="n"/>
      <c r="T65" s="10" t="n"/>
      <c r="U65" s="10" t="n"/>
      <c r="V65" s="10" t="n"/>
      <c r="W65" s="10" t="n"/>
      <c r="X65" s="12">
        <f>IFERROR(ABS(Q65-R65)/Dashboard!$B$9*Dashboard!$B$10*W65,"")</f>
        <v/>
      </c>
      <c r="Y65" s="13">
        <f>IFERROR(IF(N65="Long",U65-Q65,IF(N65="Short",Q65-U65,"")),"")</f>
        <v/>
      </c>
      <c r="Z65" s="13">
        <f>IFERROR(Y65/Dashboard!$B$9,"")</f>
        <v/>
      </c>
      <c r="AA65" s="12">
        <f>IFERROR(Z65*Dashboard!$B$10*W65,"")</f>
        <v/>
      </c>
      <c r="AB65" s="14">
        <f>IFERROR(AA65/X65,"")</f>
        <v/>
      </c>
      <c r="AC65" s="10">
        <f>IF(AA65="","",IF(AA65&gt;0,1,0))</f>
        <v/>
      </c>
      <c r="AD65" s="12">
        <f>AD64+IF(AA65="",0,AA65)</f>
        <v/>
      </c>
      <c r="AE65" s="12">
        <f>MAX(AE64,AD65)</f>
        <v/>
      </c>
      <c r="AF65" s="12">
        <f>AE65-AD65</f>
        <v/>
      </c>
      <c r="AG65" s="10" t="n"/>
    </row>
    <row r="66">
      <c r="A66" s="10">
        <f>ROW()-2</f>
        <v/>
      </c>
      <c r="B66" s="10" t="n"/>
      <c r="C66" s="10" t="n"/>
      <c r="D66" s="10" t="n"/>
      <c r="E66" s="10" t="n"/>
      <c r="F66" s="10" t="n"/>
      <c r="G66" s="10" t="n"/>
      <c r="H66" s="10" t="n"/>
      <c r="I66" s="13">
        <f>IFERROR(ABS(H66-G66),"")</f>
        <v/>
      </c>
      <c r="J66" s="10" t="n"/>
      <c r="K66" s="10" t="n"/>
      <c r="L66" s="10">
        <f>IF(K66="","",IF(K66&gt;=Dashboard!$B$11,"A+","B-"))</f>
        <v/>
      </c>
      <c r="M66" s="10" t="n"/>
      <c r="N66" s="10" t="n"/>
      <c r="O66" s="10">
        <f>IF(OR(N66="",F66=""),"",IF(OR(AND(F66="Up",N66="Long"),AND(F66="Down",N66="Short")),"OK","CHECK"))</f>
        <v/>
      </c>
      <c r="P66" s="10" t="n"/>
      <c r="Q66" s="10" t="n"/>
      <c r="R66" s="10" t="n"/>
      <c r="S66" s="10" t="n"/>
      <c r="T66" s="10" t="n"/>
      <c r="U66" s="10" t="n"/>
      <c r="V66" s="10" t="n"/>
      <c r="W66" s="10" t="n"/>
      <c r="X66" s="12">
        <f>IFERROR(ABS(Q66-R66)/Dashboard!$B$9*Dashboard!$B$10*W66,"")</f>
        <v/>
      </c>
      <c r="Y66" s="13">
        <f>IFERROR(IF(N66="Long",U66-Q66,IF(N66="Short",Q66-U66,"")),"")</f>
        <v/>
      </c>
      <c r="Z66" s="13">
        <f>IFERROR(Y66/Dashboard!$B$9,"")</f>
        <v/>
      </c>
      <c r="AA66" s="12">
        <f>IFERROR(Z66*Dashboard!$B$10*W66,"")</f>
        <v/>
      </c>
      <c r="AB66" s="14">
        <f>IFERROR(AA66/X66,"")</f>
        <v/>
      </c>
      <c r="AC66" s="10">
        <f>IF(AA66="","",IF(AA66&gt;0,1,0))</f>
        <v/>
      </c>
      <c r="AD66" s="12">
        <f>AD65+IF(AA66="",0,AA66)</f>
        <v/>
      </c>
      <c r="AE66" s="12">
        <f>MAX(AE65,AD66)</f>
        <v/>
      </c>
      <c r="AF66" s="12">
        <f>AE66-AD66</f>
        <v/>
      </c>
      <c r="AG66" s="10" t="n"/>
    </row>
    <row r="67">
      <c r="A67" s="10">
        <f>ROW()-2</f>
        <v/>
      </c>
      <c r="B67" s="10" t="n"/>
      <c r="C67" s="10" t="n"/>
      <c r="D67" s="10" t="n"/>
      <c r="E67" s="10" t="n"/>
      <c r="F67" s="10" t="n"/>
      <c r="G67" s="10" t="n"/>
      <c r="H67" s="10" t="n"/>
      <c r="I67" s="13">
        <f>IFERROR(ABS(H67-G67),"")</f>
        <v/>
      </c>
      <c r="J67" s="10" t="n"/>
      <c r="K67" s="10" t="n"/>
      <c r="L67" s="10">
        <f>IF(K67="","",IF(K67&gt;=Dashboard!$B$11,"A+","B-"))</f>
        <v/>
      </c>
      <c r="M67" s="10" t="n"/>
      <c r="N67" s="10" t="n"/>
      <c r="O67" s="10">
        <f>IF(OR(N67="",F67=""),"",IF(OR(AND(F67="Up",N67="Long"),AND(F67="Down",N67="Short")),"OK","CHECK"))</f>
        <v/>
      </c>
      <c r="P67" s="10" t="n"/>
      <c r="Q67" s="10" t="n"/>
      <c r="R67" s="10" t="n"/>
      <c r="S67" s="10" t="n"/>
      <c r="T67" s="10" t="n"/>
      <c r="U67" s="10" t="n"/>
      <c r="V67" s="10" t="n"/>
      <c r="W67" s="10" t="n"/>
      <c r="X67" s="12">
        <f>IFERROR(ABS(Q67-R67)/Dashboard!$B$9*Dashboard!$B$10*W67,"")</f>
        <v/>
      </c>
      <c r="Y67" s="13">
        <f>IFERROR(IF(N67="Long",U67-Q67,IF(N67="Short",Q67-U67,"")),"")</f>
        <v/>
      </c>
      <c r="Z67" s="13">
        <f>IFERROR(Y67/Dashboard!$B$9,"")</f>
        <v/>
      </c>
      <c r="AA67" s="12">
        <f>IFERROR(Z67*Dashboard!$B$10*W67,"")</f>
        <v/>
      </c>
      <c r="AB67" s="14">
        <f>IFERROR(AA67/X67,"")</f>
        <v/>
      </c>
      <c r="AC67" s="10">
        <f>IF(AA67="","",IF(AA67&gt;0,1,0))</f>
        <v/>
      </c>
      <c r="AD67" s="12">
        <f>AD66+IF(AA67="",0,AA67)</f>
        <v/>
      </c>
      <c r="AE67" s="12">
        <f>MAX(AE66,AD67)</f>
        <v/>
      </c>
      <c r="AF67" s="12">
        <f>AE67-AD67</f>
        <v/>
      </c>
      <c r="AG67" s="10" t="n"/>
    </row>
    <row r="68">
      <c r="A68" s="10">
        <f>ROW()-2</f>
        <v/>
      </c>
      <c r="B68" s="10" t="n"/>
      <c r="C68" s="10" t="n"/>
      <c r="D68" s="10" t="n"/>
      <c r="E68" s="10" t="n"/>
      <c r="F68" s="10" t="n"/>
      <c r="G68" s="10" t="n"/>
      <c r="H68" s="10" t="n"/>
      <c r="I68" s="13">
        <f>IFERROR(ABS(H68-G68),"")</f>
        <v/>
      </c>
      <c r="J68" s="10" t="n"/>
      <c r="K68" s="10" t="n"/>
      <c r="L68" s="10">
        <f>IF(K68="","",IF(K68&gt;=Dashboard!$B$11,"A+","B-"))</f>
        <v/>
      </c>
      <c r="M68" s="10" t="n"/>
      <c r="N68" s="10" t="n"/>
      <c r="O68" s="10">
        <f>IF(OR(N68="",F68=""),"",IF(OR(AND(F68="Up",N68="Long"),AND(F68="Down",N68="Short")),"OK","CHECK"))</f>
        <v/>
      </c>
      <c r="P68" s="10" t="n"/>
      <c r="Q68" s="10" t="n"/>
      <c r="R68" s="10" t="n"/>
      <c r="S68" s="10" t="n"/>
      <c r="T68" s="10" t="n"/>
      <c r="U68" s="10" t="n"/>
      <c r="V68" s="10" t="n"/>
      <c r="W68" s="10" t="n"/>
      <c r="X68" s="12">
        <f>IFERROR(ABS(Q68-R68)/Dashboard!$B$9*Dashboard!$B$10*W68,"")</f>
        <v/>
      </c>
      <c r="Y68" s="13">
        <f>IFERROR(IF(N68="Long",U68-Q68,IF(N68="Short",Q68-U68,"")),"")</f>
        <v/>
      </c>
      <c r="Z68" s="13">
        <f>IFERROR(Y68/Dashboard!$B$9,"")</f>
        <v/>
      </c>
      <c r="AA68" s="12">
        <f>IFERROR(Z68*Dashboard!$B$10*W68,"")</f>
        <v/>
      </c>
      <c r="AB68" s="14">
        <f>IFERROR(AA68/X68,"")</f>
        <v/>
      </c>
      <c r="AC68" s="10">
        <f>IF(AA68="","",IF(AA68&gt;0,1,0))</f>
        <v/>
      </c>
      <c r="AD68" s="12">
        <f>AD67+IF(AA68="",0,AA68)</f>
        <v/>
      </c>
      <c r="AE68" s="12">
        <f>MAX(AE67,AD68)</f>
        <v/>
      </c>
      <c r="AF68" s="12">
        <f>AE68-AD68</f>
        <v/>
      </c>
      <c r="AG68" s="10" t="n"/>
    </row>
    <row r="69">
      <c r="A69" s="10">
        <f>ROW()-2</f>
        <v/>
      </c>
      <c r="B69" s="10" t="n"/>
      <c r="C69" s="10" t="n"/>
      <c r="D69" s="10" t="n"/>
      <c r="E69" s="10" t="n"/>
      <c r="F69" s="10" t="n"/>
      <c r="G69" s="10" t="n"/>
      <c r="H69" s="10" t="n"/>
      <c r="I69" s="13">
        <f>IFERROR(ABS(H69-G69),"")</f>
        <v/>
      </c>
      <c r="J69" s="10" t="n"/>
      <c r="K69" s="10" t="n"/>
      <c r="L69" s="10">
        <f>IF(K69="","",IF(K69&gt;=Dashboard!$B$11,"A+","B-"))</f>
        <v/>
      </c>
      <c r="M69" s="10" t="n"/>
      <c r="N69" s="10" t="n"/>
      <c r="O69" s="10">
        <f>IF(OR(N69="",F69=""),"",IF(OR(AND(F69="Up",N69="Long"),AND(F69="Down",N69="Short")),"OK","CHECK"))</f>
        <v/>
      </c>
      <c r="P69" s="10" t="n"/>
      <c r="Q69" s="10" t="n"/>
      <c r="R69" s="10" t="n"/>
      <c r="S69" s="10" t="n"/>
      <c r="T69" s="10" t="n"/>
      <c r="U69" s="10" t="n"/>
      <c r="V69" s="10" t="n"/>
      <c r="W69" s="10" t="n"/>
      <c r="X69" s="12">
        <f>IFERROR(ABS(Q69-R69)/Dashboard!$B$9*Dashboard!$B$10*W69,"")</f>
        <v/>
      </c>
      <c r="Y69" s="13">
        <f>IFERROR(IF(N69="Long",U69-Q69,IF(N69="Short",Q69-U69,"")),"")</f>
        <v/>
      </c>
      <c r="Z69" s="13">
        <f>IFERROR(Y69/Dashboard!$B$9,"")</f>
        <v/>
      </c>
      <c r="AA69" s="12">
        <f>IFERROR(Z69*Dashboard!$B$10*W69,"")</f>
        <v/>
      </c>
      <c r="AB69" s="14">
        <f>IFERROR(AA69/X69,"")</f>
        <v/>
      </c>
      <c r="AC69" s="10">
        <f>IF(AA69="","",IF(AA69&gt;0,1,0))</f>
        <v/>
      </c>
      <c r="AD69" s="12">
        <f>AD68+IF(AA69="",0,AA69)</f>
        <v/>
      </c>
      <c r="AE69" s="12">
        <f>MAX(AE68,AD69)</f>
        <v/>
      </c>
      <c r="AF69" s="12">
        <f>AE69-AD69</f>
        <v/>
      </c>
      <c r="AG69" s="10" t="n"/>
    </row>
    <row r="70">
      <c r="A70" s="10">
        <f>ROW()-2</f>
        <v/>
      </c>
      <c r="B70" s="10" t="n"/>
      <c r="C70" s="10" t="n"/>
      <c r="D70" s="10" t="n"/>
      <c r="E70" s="10" t="n"/>
      <c r="F70" s="10" t="n"/>
      <c r="G70" s="10" t="n"/>
      <c r="H70" s="10" t="n"/>
      <c r="I70" s="13">
        <f>IFERROR(ABS(H70-G70),"")</f>
        <v/>
      </c>
      <c r="J70" s="10" t="n"/>
      <c r="K70" s="10" t="n"/>
      <c r="L70" s="10">
        <f>IF(K70="","",IF(K70&gt;=Dashboard!$B$11,"A+","B-"))</f>
        <v/>
      </c>
      <c r="M70" s="10" t="n"/>
      <c r="N70" s="10" t="n"/>
      <c r="O70" s="10">
        <f>IF(OR(N70="",F70=""),"",IF(OR(AND(F70="Up",N70="Long"),AND(F70="Down",N70="Short")),"OK","CHECK"))</f>
        <v/>
      </c>
      <c r="P70" s="10" t="n"/>
      <c r="Q70" s="10" t="n"/>
      <c r="R70" s="10" t="n"/>
      <c r="S70" s="10" t="n"/>
      <c r="T70" s="10" t="n"/>
      <c r="U70" s="10" t="n"/>
      <c r="V70" s="10" t="n"/>
      <c r="W70" s="10" t="n"/>
      <c r="X70" s="12">
        <f>IFERROR(ABS(Q70-R70)/Dashboard!$B$9*Dashboard!$B$10*W70,"")</f>
        <v/>
      </c>
      <c r="Y70" s="13">
        <f>IFERROR(IF(N70="Long",U70-Q70,IF(N70="Short",Q70-U70,"")),"")</f>
        <v/>
      </c>
      <c r="Z70" s="13">
        <f>IFERROR(Y70/Dashboard!$B$9,"")</f>
        <v/>
      </c>
      <c r="AA70" s="12">
        <f>IFERROR(Z70*Dashboard!$B$10*W70,"")</f>
        <v/>
      </c>
      <c r="AB70" s="14">
        <f>IFERROR(AA70/X70,"")</f>
        <v/>
      </c>
      <c r="AC70" s="10">
        <f>IF(AA70="","",IF(AA70&gt;0,1,0))</f>
        <v/>
      </c>
      <c r="AD70" s="12">
        <f>AD69+IF(AA70="",0,AA70)</f>
        <v/>
      </c>
      <c r="AE70" s="12">
        <f>MAX(AE69,AD70)</f>
        <v/>
      </c>
      <c r="AF70" s="12">
        <f>AE70-AD70</f>
        <v/>
      </c>
      <c r="AG70" s="10" t="n"/>
    </row>
    <row r="71">
      <c r="A71" s="10">
        <f>ROW()-2</f>
        <v/>
      </c>
      <c r="B71" s="10" t="n"/>
      <c r="C71" s="10" t="n"/>
      <c r="D71" s="10" t="n"/>
      <c r="E71" s="10" t="n"/>
      <c r="F71" s="10" t="n"/>
      <c r="G71" s="10" t="n"/>
      <c r="H71" s="10" t="n"/>
      <c r="I71" s="13">
        <f>IFERROR(ABS(H71-G71),"")</f>
        <v/>
      </c>
      <c r="J71" s="10" t="n"/>
      <c r="K71" s="10" t="n"/>
      <c r="L71" s="10">
        <f>IF(K71="","",IF(K71&gt;=Dashboard!$B$11,"A+","B-"))</f>
        <v/>
      </c>
      <c r="M71" s="10" t="n"/>
      <c r="N71" s="10" t="n"/>
      <c r="O71" s="10">
        <f>IF(OR(N71="",F71=""),"",IF(OR(AND(F71="Up",N71="Long"),AND(F71="Down",N71="Short")),"OK","CHECK"))</f>
        <v/>
      </c>
      <c r="P71" s="10" t="n"/>
      <c r="Q71" s="10" t="n"/>
      <c r="R71" s="10" t="n"/>
      <c r="S71" s="10" t="n"/>
      <c r="T71" s="10" t="n"/>
      <c r="U71" s="10" t="n"/>
      <c r="V71" s="10" t="n"/>
      <c r="W71" s="10" t="n"/>
      <c r="X71" s="12">
        <f>IFERROR(ABS(Q71-R71)/Dashboard!$B$9*Dashboard!$B$10*W71,"")</f>
        <v/>
      </c>
      <c r="Y71" s="13">
        <f>IFERROR(IF(N71="Long",U71-Q71,IF(N71="Short",Q71-U71,"")),"")</f>
        <v/>
      </c>
      <c r="Z71" s="13">
        <f>IFERROR(Y71/Dashboard!$B$9,"")</f>
        <v/>
      </c>
      <c r="AA71" s="12">
        <f>IFERROR(Z71*Dashboard!$B$10*W71,"")</f>
        <v/>
      </c>
      <c r="AB71" s="14">
        <f>IFERROR(AA71/X71,"")</f>
        <v/>
      </c>
      <c r="AC71" s="10">
        <f>IF(AA71="","",IF(AA71&gt;0,1,0))</f>
        <v/>
      </c>
      <c r="AD71" s="12">
        <f>AD70+IF(AA71="",0,AA71)</f>
        <v/>
      </c>
      <c r="AE71" s="12">
        <f>MAX(AE70,AD71)</f>
        <v/>
      </c>
      <c r="AF71" s="12">
        <f>AE71-AD71</f>
        <v/>
      </c>
      <c r="AG71" s="10" t="n"/>
    </row>
    <row r="72">
      <c r="A72" s="10">
        <f>ROW()-2</f>
        <v/>
      </c>
      <c r="B72" s="10" t="n"/>
      <c r="C72" s="10" t="n"/>
      <c r="D72" s="10" t="n"/>
      <c r="E72" s="10" t="n"/>
      <c r="F72" s="10" t="n"/>
      <c r="G72" s="10" t="n"/>
      <c r="H72" s="10" t="n"/>
      <c r="I72" s="13">
        <f>IFERROR(ABS(H72-G72),"")</f>
        <v/>
      </c>
      <c r="J72" s="10" t="n"/>
      <c r="K72" s="10" t="n"/>
      <c r="L72" s="10">
        <f>IF(K72="","",IF(K72&gt;=Dashboard!$B$11,"A+","B-"))</f>
        <v/>
      </c>
      <c r="M72" s="10" t="n"/>
      <c r="N72" s="10" t="n"/>
      <c r="O72" s="10">
        <f>IF(OR(N72="",F72=""),"",IF(OR(AND(F72="Up",N72="Long"),AND(F72="Down",N72="Short")),"OK","CHECK"))</f>
        <v/>
      </c>
      <c r="P72" s="10" t="n"/>
      <c r="Q72" s="10" t="n"/>
      <c r="R72" s="10" t="n"/>
      <c r="S72" s="10" t="n"/>
      <c r="T72" s="10" t="n"/>
      <c r="U72" s="10" t="n"/>
      <c r="V72" s="10" t="n"/>
      <c r="W72" s="10" t="n"/>
      <c r="X72" s="12">
        <f>IFERROR(ABS(Q72-R72)/Dashboard!$B$9*Dashboard!$B$10*W72,"")</f>
        <v/>
      </c>
      <c r="Y72" s="13">
        <f>IFERROR(IF(N72="Long",U72-Q72,IF(N72="Short",Q72-U72,"")),"")</f>
        <v/>
      </c>
      <c r="Z72" s="13">
        <f>IFERROR(Y72/Dashboard!$B$9,"")</f>
        <v/>
      </c>
      <c r="AA72" s="12">
        <f>IFERROR(Z72*Dashboard!$B$10*W72,"")</f>
        <v/>
      </c>
      <c r="AB72" s="14">
        <f>IFERROR(AA72/X72,"")</f>
        <v/>
      </c>
      <c r="AC72" s="10">
        <f>IF(AA72="","",IF(AA72&gt;0,1,0))</f>
        <v/>
      </c>
      <c r="AD72" s="12">
        <f>AD71+IF(AA72="",0,AA72)</f>
        <v/>
      </c>
      <c r="AE72" s="12">
        <f>MAX(AE71,AD72)</f>
        <v/>
      </c>
      <c r="AF72" s="12">
        <f>AE72-AD72</f>
        <v/>
      </c>
      <c r="AG72" s="10" t="n"/>
    </row>
    <row r="73">
      <c r="A73" s="10">
        <f>ROW()-2</f>
        <v/>
      </c>
      <c r="B73" s="10" t="n"/>
      <c r="C73" s="10" t="n"/>
      <c r="D73" s="10" t="n"/>
      <c r="E73" s="10" t="n"/>
      <c r="F73" s="10" t="n"/>
      <c r="G73" s="10" t="n"/>
      <c r="H73" s="10" t="n"/>
      <c r="I73" s="13">
        <f>IFERROR(ABS(H73-G73),"")</f>
        <v/>
      </c>
      <c r="J73" s="10" t="n"/>
      <c r="K73" s="10" t="n"/>
      <c r="L73" s="10">
        <f>IF(K73="","",IF(K73&gt;=Dashboard!$B$11,"A+","B-"))</f>
        <v/>
      </c>
      <c r="M73" s="10" t="n"/>
      <c r="N73" s="10" t="n"/>
      <c r="O73" s="10">
        <f>IF(OR(N73="",F73=""),"",IF(OR(AND(F73="Up",N73="Long"),AND(F73="Down",N73="Short")),"OK","CHECK"))</f>
        <v/>
      </c>
      <c r="P73" s="10" t="n"/>
      <c r="Q73" s="10" t="n"/>
      <c r="R73" s="10" t="n"/>
      <c r="S73" s="10" t="n"/>
      <c r="T73" s="10" t="n"/>
      <c r="U73" s="10" t="n"/>
      <c r="V73" s="10" t="n"/>
      <c r="W73" s="10" t="n"/>
      <c r="X73" s="12">
        <f>IFERROR(ABS(Q73-R73)/Dashboard!$B$9*Dashboard!$B$10*W73,"")</f>
        <v/>
      </c>
      <c r="Y73" s="13">
        <f>IFERROR(IF(N73="Long",U73-Q73,IF(N73="Short",Q73-U73,"")),"")</f>
        <v/>
      </c>
      <c r="Z73" s="13">
        <f>IFERROR(Y73/Dashboard!$B$9,"")</f>
        <v/>
      </c>
      <c r="AA73" s="12">
        <f>IFERROR(Z73*Dashboard!$B$10*W73,"")</f>
        <v/>
      </c>
      <c r="AB73" s="14">
        <f>IFERROR(AA73/X73,"")</f>
        <v/>
      </c>
      <c r="AC73" s="10">
        <f>IF(AA73="","",IF(AA73&gt;0,1,0))</f>
        <v/>
      </c>
      <c r="AD73" s="12">
        <f>AD72+IF(AA73="",0,AA73)</f>
        <v/>
      </c>
      <c r="AE73" s="12">
        <f>MAX(AE72,AD73)</f>
        <v/>
      </c>
      <c r="AF73" s="12">
        <f>AE73-AD73</f>
        <v/>
      </c>
      <c r="AG73" s="10" t="n"/>
    </row>
    <row r="74">
      <c r="A74" s="10">
        <f>ROW()-2</f>
        <v/>
      </c>
      <c r="B74" s="10" t="n"/>
      <c r="C74" s="10" t="n"/>
      <c r="D74" s="10" t="n"/>
      <c r="E74" s="10" t="n"/>
      <c r="F74" s="10" t="n"/>
      <c r="G74" s="10" t="n"/>
      <c r="H74" s="10" t="n"/>
      <c r="I74" s="13">
        <f>IFERROR(ABS(H74-G74),"")</f>
        <v/>
      </c>
      <c r="J74" s="10" t="n"/>
      <c r="K74" s="10" t="n"/>
      <c r="L74" s="10">
        <f>IF(K74="","",IF(K74&gt;=Dashboard!$B$11,"A+","B-"))</f>
        <v/>
      </c>
      <c r="M74" s="10" t="n"/>
      <c r="N74" s="10" t="n"/>
      <c r="O74" s="10">
        <f>IF(OR(N74="",F74=""),"",IF(OR(AND(F74="Up",N74="Long"),AND(F74="Down",N74="Short")),"OK","CHECK"))</f>
        <v/>
      </c>
      <c r="P74" s="10" t="n"/>
      <c r="Q74" s="10" t="n"/>
      <c r="R74" s="10" t="n"/>
      <c r="S74" s="10" t="n"/>
      <c r="T74" s="10" t="n"/>
      <c r="U74" s="10" t="n"/>
      <c r="V74" s="10" t="n"/>
      <c r="W74" s="10" t="n"/>
      <c r="X74" s="12">
        <f>IFERROR(ABS(Q74-R74)/Dashboard!$B$9*Dashboard!$B$10*W74,"")</f>
        <v/>
      </c>
      <c r="Y74" s="13">
        <f>IFERROR(IF(N74="Long",U74-Q74,IF(N74="Short",Q74-U74,"")),"")</f>
        <v/>
      </c>
      <c r="Z74" s="13">
        <f>IFERROR(Y74/Dashboard!$B$9,"")</f>
        <v/>
      </c>
      <c r="AA74" s="12">
        <f>IFERROR(Z74*Dashboard!$B$10*W74,"")</f>
        <v/>
      </c>
      <c r="AB74" s="14">
        <f>IFERROR(AA74/X74,"")</f>
        <v/>
      </c>
      <c r="AC74" s="10">
        <f>IF(AA74="","",IF(AA74&gt;0,1,0))</f>
        <v/>
      </c>
      <c r="AD74" s="12">
        <f>AD73+IF(AA74="",0,AA74)</f>
        <v/>
      </c>
      <c r="AE74" s="12">
        <f>MAX(AE73,AD74)</f>
        <v/>
      </c>
      <c r="AF74" s="12">
        <f>AE74-AD74</f>
        <v/>
      </c>
      <c r="AG74" s="10" t="n"/>
    </row>
    <row r="75">
      <c r="A75" s="10">
        <f>ROW()-2</f>
        <v/>
      </c>
      <c r="B75" s="10" t="n"/>
      <c r="C75" s="10" t="n"/>
      <c r="D75" s="10" t="n"/>
      <c r="E75" s="10" t="n"/>
      <c r="F75" s="10" t="n"/>
      <c r="G75" s="10" t="n"/>
      <c r="H75" s="10" t="n"/>
      <c r="I75" s="13">
        <f>IFERROR(ABS(H75-G75),"")</f>
        <v/>
      </c>
      <c r="J75" s="10" t="n"/>
      <c r="K75" s="10" t="n"/>
      <c r="L75" s="10">
        <f>IF(K75="","",IF(K75&gt;=Dashboard!$B$11,"A+","B-"))</f>
        <v/>
      </c>
      <c r="M75" s="10" t="n"/>
      <c r="N75" s="10" t="n"/>
      <c r="O75" s="10">
        <f>IF(OR(N75="",F75=""),"",IF(OR(AND(F75="Up",N75="Long"),AND(F75="Down",N75="Short")),"OK","CHECK"))</f>
        <v/>
      </c>
      <c r="P75" s="10" t="n"/>
      <c r="Q75" s="10" t="n"/>
      <c r="R75" s="10" t="n"/>
      <c r="S75" s="10" t="n"/>
      <c r="T75" s="10" t="n"/>
      <c r="U75" s="10" t="n"/>
      <c r="V75" s="10" t="n"/>
      <c r="W75" s="10" t="n"/>
      <c r="X75" s="12">
        <f>IFERROR(ABS(Q75-R75)/Dashboard!$B$9*Dashboard!$B$10*W75,"")</f>
        <v/>
      </c>
      <c r="Y75" s="13">
        <f>IFERROR(IF(N75="Long",U75-Q75,IF(N75="Short",Q75-U75,"")),"")</f>
        <v/>
      </c>
      <c r="Z75" s="13">
        <f>IFERROR(Y75/Dashboard!$B$9,"")</f>
        <v/>
      </c>
      <c r="AA75" s="12">
        <f>IFERROR(Z75*Dashboard!$B$10*W75,"")</f>
        <v/>
      </c>
      <c r="AB75" s="14">
        <f>IFERROR(AA75/X75,"")</f>
        <v/>
      </c>
      <c r="AC75" s="10">
        <f>IF(AA75="","",IF(AA75&gt;0,1,0))</f>
        <v/>
      </c>
      <c r="AD75" s="12">
        <f>AD74+IF(AA75="",0,AA75)</f>
        <v/>
      </c>
      <c r="AE75" s="12">
        <f>MAX(AE74,AD75)</f>
        <v/>
      </c>
      <c r="AF75" s="12">
        <f>AE75-AD75</f>
        <v/>
      </c>
      <c r="AG75" s="10" t="n"/>
    </row>
    <row r="76">
      <c r="A76" s="10">
        <f>ROW()-2</f>
        <v/>
      </c>
      <c r="B76" s="10" t="n"/>
      <c r="C76" s="10" t="n"/>
      <c r="D76" s="10" t="n"/>
      <c r="E76" s="10" t="n"/>
      <c r="F76" s="10" t="n"/>
      <c r="G76" s="10" t="n"/>
      <c r="H76" s="10" t="n"/>
      <c r="I76" s="13">
        <f>IFERROR(ABS(H76-G76),"")</f>
        <v/>
      </c>
      <c r="J76" s="10" t="n"/>
      <c r="K76" s="10" t="n"/>
      <c r="L76" s="10">
        <f>IF(K76="","",IF(K76&gt;=Dashboard!$B$11,"A+","B-"))</f>
        <v/>
      </c>
      <c r="M76" s="10" t="n"/>
      <c r="N76" s="10" t="n"/>
      <c r="O76" s="10">
        <f>IF(OR(N76="",F76=""),"",IF(OR(AND(F76="Up",N76="Long"),AND(F76="Down",N76="Short")),"OK","CHECK"))</f>
        <v/>
      </c>
      <c r="P76" s="10" t="n"/>
      <c r="Q76" s="10" t="n"/>
      <c r="R76" s="10" t="n"/>
      <c r="S76" s="10" t="n"/>
      <c r="T76" s="10" t="n"/>
      <c r="U76" s="10" t="n"/>
      <c r="V76" s="10" t="n"/>
      <c r="W76" s="10" t="n"/>
      <c r="X76" s="12">
        <f>IFERROR(ABS(Q76-R76)/Dashboard!$B$9*Dashboard!$B$10*W76,"")</f>
        <v/>
      </c>
      <c r="Y76" s="13">
        <f>IFERROR(IF(N76="Long",U76-Q76,IF(N76="Short",Q76-U76,"")),"")</f>
        <v/>
      </c>
      <c r="Z76" s="13">
        <f>IFERROR(Y76/Dashboard!$B$9,"")</f>
        <v/>
      </c>
      <c r="AA76" s="12">
        <f>IFERROR(Z76*Dashboard!$B$10*W76,"")</f>
        <v/>
      </c>
      <c r="AB76" s="14">
        <f>IFERROR(AA76/X76,"")</f>
        <v/>
      </c>
      <c r="AC76" s="10">
        <f>IF(AA76="","",IF(AA76&gt;0,1,0))</f>
        <v/>
      </c>
      <c r="AD76" s="12">
        <f>AD75+IF(AA76="",0,AA76)</f>
        <v/>
      </c>
      <c r="AE76" s="12">
        <f>MAX(AE75,AD76)</f>
        <v/>
      </c>
      <c r="AF76" s="12">
        <f>AE76-AD76</f>
        <v/>
      </c>
      <c r="AG76" s="10" t="n"/>
    </row>
    <row r="77">
      <c r="A77" s="10">
        <f>ROW()-2</f>
        <v/>
      </c>
      <c r="B77" s="10" t="n"/>
      <c r="C77" s="10" t="n"/>
      <c r="D77" s="10" t="n"/>
      <c r="E77" s="10" t="n"/>
      <c r="F77" s="10" t="n"/>
      <c r="G77" s="10" t="n"/>
      <c r="H77" s="10" t="n"/>
      <c r="I77" s="13">
        <f>IFERROR(ABS(H77-G77),"")</f>
        <v/>
      </c>
      <c r="J77" s="10" t="n"/>
      <c r="K77" s="10" t="n"/>
      <c r="L77" s="10">
        <f>IF(K77="","",IF(K77&gt;=Dashboard!$B$11,"A+","B-"))</f>
        <v/>
      </c>
      <c r="M77" s="10" t="n"/>
      <c r="N77" s="10" t="n"/>
      <c r="O77" s="10">
        <f>IF(OR(N77="",F77=""),"",IF(OR(AND(F77="Up",N77="Long"),AND(F77="Down",N77="Short")),"OK","CHECK"))</f>
        <v/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2">
        <f>IFERROR(ABS(Q77-R77)/Dashboard!$B$9*Dashboard!$B$10*W77,"")</f>
        <v/>
      </c>
      <c r="Y77" s="13">
        <f>IFERROR(IF(N77="Long",U77-Q77,IF(N77="Short",Q77-U77,"")),"")</f>
        <v/>
      </c>
      <c r="Z77" s="13">
        <f>IFERROR(Y77/Dashboard!$B$9,"")</f>
        <v/>
      </c>
      <c r="AA77" s="12">
        <f>IFERROR(Z77*Dashboard!$B$10*W77,"")</f>
        <v/>
      </c>
      <c r="AB77" s="14">
        <f>IFERROR(AA77/X77,"")</f>
        <v/>
      </c>
      <c r="AC77" s="10">
        <f>IF(AA77="","",IF(AA77&gt;0,1,0))</f>
        <v/>
      </c>
      <c r="AD77" s="12">
        <f>AD76+IF(AA77="",0,AA77)</f>
        <v/>
      </c>
      <c r="AE77" s="12">
        <f>MAX(AE76,AD77)</f>
        <v/>
      </c>
      <c r="AF77" s="12">
        <f>AE77-AD77</f>
        <v/>
      </c>
      <c r="AG77" s="10" t="n"/>
    </row>
    <row r="78">
      <c r="A78" s="10">
        <f>ROW()-2</f>
        <v/>
      </c>
      <c r="B78" s="10" t="n"/>
      <c r="C78" s="10" t="n"/>
      <c r="D78" s="10" t="n"/>
      <c r="E78" s="10" t="n"/>
      <c r="F78" s="10" t="n"/>
      <c r="G78" s="10" t="n"/>
      <c r="H78" s="10" t="n"/>
      <c r="I78" s="13">
        <f>IFERROR(ABS(H78-G78),"")</f>
        <v/>
      </c>
      <c r="J78" s="10" t="n"/>
      <c r="K78" s="10" t="n"/>
      <c r="L78" s="10">
        <f>IF(K78="","",IF(K78&gt;=Dashboard!$B$11,"A+","B-"))</f>
        <v/>
      </c>
      <c r="M78" s="10" t="n"/>
      <c r="N78" s="10" t="n"/>
      <c r="O78" s="10">
        <f>IF(OR(N78="",F78=""),"",IF(OR(AND(F78="Up",N78="Long"),AND(F78="Down",N78="Short")),"OK","CHECK"))</f>
        <v/>
      </c>
      <c r="P78" s="10" t="n"/>
      <c r="Q78" s="10" t="n"/>
      <c r="R78" s="10" t="n"/>
      <c r="S78" s="10" t="n"/>
      <c r="T78" s="10" t="n"/>
      <c r="U78" s="10" t="n"/>
      <c r="V78" s="10" t="n"/>
      <c r="W78" s="10" t="n"/>
      <c r="X78" s="12">
        <f>IFERROR(ABS(Q78-R78)/Dashboard!$B$9*Dashboard!$B$10*W78,"")</f>
        <v/>
      </c>
      <c r="Y78" s="13">
        <f>IFERROR(IF(N78="Long",U78-Q78,IF(N78="Short",Q78-U78,"")),"")</f>
        <v/>
      </c>
      <c r="Z78" s="13">
        <f>IFERROR(Y78/Dashboard!$B$9,"")</f>
        <v/>
      </c>
      <c r="AA78" s="12">
        <f>IFERROR(Z78*Dashboard!$B$10*W78,"")</f>
        <v/>
      </c>
      <c r="AB78" s="14">
        <f>IFERROR(AA78/X78,"")</f>
        <v/>
      </c>
      <c r="AC78" s="10">
        <f>IF(AA78="","",IF(AA78&gt;0,1,0))</f>
        <v/>
      </c>
      <c r="AD78" s="12">
        <f>AD77+IF(AA78="",0,AA78)</f>
        <v/>
      </c>
      <c r="AE78" s="12">
        <f>MAX(AE77,AD78)</f>
        <v/>
      </c>
      <c r="AF78" s="12">
        <f>AE78-AD78</f>
        <v/>
      </c>
      <c r="AG78" s="10" t="n"/>
    </row>
    <row r="79">
      <c r="A79" s="10">
        <f>ROW()-2</f>
        <v/>
      </c>
      <c r="B79" s="10" t="n"/>
      <c r="C79" s="10" t="n"/>
      <c r="D79" s="10" t="n"/>
      <c r="E79" s="10" t="n"/>
      <c r="F79" s="10" t="n"/>
      <c r="G79" s="10" t="n"/>
      <c r="H79" s="10" t="n"/>
      <c r="I79" s="13">
        <f>IFERROR(ABS(H79-G79),"")</f>
        <v/>
      </c>
      <c r="J79" s="10" t="n"/>
      <c r="K79" s="10" t="n"/>
      <c r="L79" s="10">
        <f>IF(K79="","",IF(K79&gt;=Dashboard!$B$11,"A+","B-"))</f>
        <v/>
      </c>
      <c r="M79" s="10" t="n"/>
      <c r="N79" s="10" t="n"/>
      <c r="O79" s="10">
        <f>IF(OR(N79="",F79=""),"",IF(OR(AND(F79="Up",N79="Long"),AND(F79="Down",N79="Short")),"OK","CHECK"))</f>
        <v/>
      </c>
      <c r="P79" s="10" t="n"/>
      <c r="Q79" s="10" t="n"/>
      <c r="R79" s="10" t="n"/>
      <c r="S79" s="10" t="n"/>
      <c r="T79" s="10" t="n"/>
      <c r="U79" s="10" t="n"/>
      <c r="V79" s="10" t="n"/>
      <c r="W79" s="10" t="n"/>
      <c r="X79" s="12">
        <f>IFERROR(ABS(Q79-R79)/Dashboard!$B$9*Dashboard!$B$10*W79,"")</f>
        <v/>
      </c>
      <c r="Y79" s="13">
        <f>IFERROR(IF(N79="Long",U79-Q79,IF(N79="Short",Q79-U79,"")),"")</f>
        <v/>
      </c>
      <c r="Z79" s="13">
        <f>IFERROR(Y79/Dashboard!$B$9,"")</f>
        <v/>
      </c>
      <c r="AA79" s="12">
        <f>IFERROR(Z79*Dashboard!$B$10*W79,"")</f>
        <v/>
      </c>
      <c r="AB79" s="14">
        <f>IFERROR(AA79/X79,"")</f>
        <v/>
      </c>
      <c r="AC79" s="10">
        <f>IF(AA79="","",IF(AA79&gt;0,1,0))</f>
        <v/>
      </c>
      <c r="AD79" s="12">
        <f>AD78+IF(AA79="",0,AA79)</f>
        <v/>
      </c>
      <c r="AE79" s="12">
        <f>MAX(AE78,AD79)</f>
        <v/>
      </c>
      <c r="AF79" s="12">
        <f>AE79-AD79</f>
        <v/>
      </c>
      <c r="AG79" s="10" t="n"/>
    </row>
    <row r="80">
      <c r="A80" s="10">
        <f>ROW()-2</f>
        <v/>
      </c>
      <c r="B80" s="10" t="n"/>
      <c r="C80" s="10" t="n"/>
      <c r="D80" s="10" t="n"/>
      <c r="E80" s="10" t="n"/>
      <c r="F80" s="10" t="n"/>
      <c r="G80" s="10" t="n"/>
      <c r="H80" s="10" t="n"/>
      <c r="I80" s="13">
        <f>IFERROR(ABS(H80-G80),"")</f>
        <v/>
      </c>
      <c r="J80" s="10" t="n"/>
      <c r="K80" s="10" t="n"/>
      <c r="L80" s="10">
        <f>IF(K80="","",IF(K80&gt;=Dashboard!$B$11,"A+","B-"))</f>
        <v/>
      </c>
      <c r="M80" s="10" t="n"/>
      <c r="N80" s="10" t="n"/>
      <c r="O80" s="10">
        <f>IF(OR(N80="",F80=""),"",IF(OR(AND(F80="Up",N80="Long"),AND(F80="Down",N80="Short")),"OK","CHECK"))</f>
        <v/>
      </c>
      <c r="P80" s="10" t="n"/>
      <c r="Q80" s="10" t="n"/>
      <c r="R80" s="10" t="n"/>
      <c r="S80" s="10" t="n"/>
      <c r="T80" s="10" t="n"/>
      <c r="U80" s="10" t="n"/>
      <c r="V80" s="10" t="n"/>
      <c r="W80" s="10" t="n"/>
      <c r="X80" s="12">
        <f>IFERROR(ABS(Q80-R80)/Dashboard!$B$9*Dashboard!$B$10*W80,"")</f>
        <v/>
      </c>
      <c r="Y80" s="13">
        <f>IFERROR(IF(N80="Long",U80-Q80,IF(N80="Short",Q80-U80,"")),"")</f>
        <v/>
      </c>
      <c r="Z80" s="13">
        <f>IFERROR(Y80/Dashboard!$B$9,"")</f>
        <v/>
      </c>
      <c r="AA80" s="12">
        <f>IFERROR(Z80*Dashboard!$B$10*W80,"")</f>
        <v/>
      </c>
      <c r="AB80" s="14">
        <f>IFERROR(AA80/X80,"")</f>
        <v/>
      </c>
      <c r="AC80" s="10">
        <f>IF(AA80="","",IF(AA80&gt;0,1,0))</f>
        <v/>
      </c>
      <c r="AD80" s="12">
        <f>AD79+IF(AA80="",0,AA80)</f>
        <v/>
      </c>
      <c r="AE80" s="12">
        <f>MAX(AE79,AD80)</f>
        <v/>
      </c>
      <c r="AF80" s="12">
        <f>AE80-AD80</f>
        <v/>
      </c>
      <c r="AG80" s="10" t="n"/>
    </row>
    <row r="81">
      <c r="A81" s="10">
        <f>ROW()-2</f>
        <v/>
      </c>
      <c r="B81" s="10" t="n"/>
      <c r="C81" s="10" t="n"/>
      <c r="D81" s="10" t="n"/>
      <c r="E81" s="10" t="n"/>
      <c r="F81" s="10" t="n"/>
      <c r="G81" s="10" t="n"/>
      <c r="H81" s="10" t="n"/>
      <c r="I81" s="13">
        <f>IFERROR(ABS(H81-G81),"")</f>
        <v/>
      </c>
      <c r="J81" s="10" t="n"/>
      <c r="K81" s="10" t="n"/>
      <c r="L81" s="10">
        <f>IF(K81="","",IF(K81&gt;=Dashboard!$B$11,"A+","B-"))</f>
        <v/>
      </c>
      <c r="M81" s="10" t="n"/>
      <c r="N81" s="10" t="n"/>
      <c r="O81" s="10">
        <f>IF(OR(N81="",F81=""),"",IF(OR(AND(F81="Up",N81="Long"),AND(F81="Down",N81="Short")),"OK","CHECK"))</f>
        <v/>
      </c>
      <c r="P81" s="10" t="n"/>
      <c r="Q81" s="10" t="n"/>
      <c r="R81" s="10" t="n"/>
      <c r="S81" s="10" t="n"/>
      <c r="T81" s="10" t="n"/>
      <c r="U81" s="10" t="n"/>
      <c r="V81" s="10" t="n"/>
      <c r="W81" s="10" t="n"/>
      <c r="X81" s="12">
        <f>IFERROR(ABS(Q81-R81)/Dashboard!$B$9*Dashboard!$B$10*W81,"")</f>
        <v/>
      </c>
      <c r="Y81" s="13">
        <f>IFERROR(IF(N81="Long",U81-Q81,IF(N81="Short",Q81-U81,"")),"")</f>
        <v/>
      </c>
      <c r="Z81" s="13">
        <f>IFERROR(Y81/Dashboard!$B$9,"")</f>
        <v/>
      </c>
      <c r="AA81" s="12">
        <f>IFERROR(Z81*Dashboard!$B$10*W81,"")</f>
        <v/>
      </c>
      <c r="AB81" s="14">
        <f>IFERROR(AA81/X81,"")</f>
        <v/>
      </c>
      <c r="AC81" s="10">
        <f>IF(AA81="","",IF(AA81&gt;0,1,0))</f>
        <v/>
      </c>
      <c r="AD81" s="12">
        <f>AD80+IF(AA81="",0,AA81)</f>
        <v/>
      </c>
      <c r="AE81" s="12">
        <f>MAX(AE80,AD81)</f>
        <v/>
      </c>
      <c r="AF81" s="12">
        <f>AE81-AD81</f>
        <v/>
      </c>
      <c r="AG81" s="10" t="n"/>
    </row>
    <row r="82">
      <c r="A82" s="10">
        <f>ROW()-2</f>
        <v/>
      </c>
      <c r="B82" s="10" t="n"/>
      <c r="C82" s="10" t="n"/>
      <c r="D82" s="10" t="n"/>
      <c r="E82" s="10" t="n"/>
      <c r="F82" s="10" t="n"/>
      <c r="G82" s="10" t="n"/>
      <c r="H82" s="10" t="n"/>
      <c r="I82" s="13">
        <f>IFERROR(ABS(H82-G82),"")</f>
        <v/>
      </c>
      <c r="J82" s="10" t="n"/>
      <c r="K82" s="10" t="n"/>
      <c r="L82" s="10">
        <f>IF(K82="","",IF(K82&gt;=Dashboard!$B$11,"A+","B-"))</f>
        <v/>
      </c>
      <c r="M82" s="10" t="n"/>
      <c r="N82" s="10" t="n"/>
      <c r="O82" s="10">
        <f>IF(OR(N82="",F82=""),"",IF(OR(AND(F82="Up",N82="Long"),AND(F82="Down",N82="Short")),"OK","CHECK"))</f>
        <v/>
      </c>
      <c r="P82" s="10" t="n"/>
      <c r="Q82" s="10" t="n"/>
      <c r="R82" s="10" t="n"/>
      <c r="S82" s="10" t="n"/>
      <c r="T82" s="10" t="n"/>
      <c r="U82" s="10" t="n"/>
      <c r="V82" s="10" t="n"/>
      <c r="W82" s="10" t="n"/>
      <c r="X82" s="12">
        <f>IFERROR(ABS(Q82-R82)/Dashboard!$B$9*Dashboard!$B$10*W82,"")</f>
        <v/>
      </c>
      <c r="Y82" s="13">
        <f>IFERROR(IF(N82="Long",U82-Q82,IF(N82="Short",Q82-U82,"")),"")</f>
        <v/>
      </c>
      <c r="Z82" s="13">
        <f>IFERROR(Y82/Dashboard!$B$9,"")</f>
        <v/>
      </c>
      <c r="AA82" s="12">
        <f>IFERROR(Z82*Dashboard!$B$10*W82,"")</f>
        <v/>
      </c>
      <c r="AB82" s="14">
        <f>IFERROR(AA82/X82,"")</f>
        <v/>
      </c>
      <c r="AC82" s="10">
        <f>IF(AA82="","",IF(AA82&gt;0,1,0))</f>
        <v/>
      </c>
      <c r="AD82" s="12">
        <f>AD81+IF(AA82="",0,AA82)</f>
        <v/>
      </c>
      <c r="AE82" s="12">
        <f>MAX(AE81,AD82)</f>
        <v/>
      </c>
      <c r="AF82" s="12">
        <f>AE82-AD82</f>
        <v/>
      </c>
      <c r="AG82" s="10" t="n"/>
    </row>
    <row r="83">
      <c r="A83" s="10">
        <f>ROW()-2</f>
        <v/>
      </c>
      <c r="B83" s="10" t="n"/>
      <c r="C83" s="10" t="n"/>
      <c r="D83" s="10" t="n"/>
      <c r="E83" s="10" t="n"/>
      <c r="F83" s="10" t="n"/>
      <c r="G83" s="10" t="n"/>
      <c r="H83" s="10" t="n"/>
      <c r="I83" s="13">
        <f>IFERROR(ABS(H83-G83),"")</f>
        <v/>
      </c>
      <c r="J83" s="10" t="n"/>
      <c r="K83" s="10" t="n"/>
      <c r="L83" s="10">
        <f>IF(K83="","",IF(K83&gt;=Dashboard!$B$11,"A+","B-"))</f>
        <v/>
      </c>
      <c r="M83" s="10" t="n"/>
      <c r="N83" s="10" t="n"/>
      <c r="O83" s="10">
        <f>IF(OR(N83="",F83=""),"",IF(OR(AND(F83="Up",N83="Long"),AND(F83="Down",N83="Short")),"OK","CHECK"))</f>
        <v/>
      </c>
      <c r="P83" s="10" t="n"/>
      <c r="Q83" s="10" t="n"/>
      <c r="R83" s="10" t="n"/>
      <c r="S83" s="10" t="n"/>
      <c r="T83" s="10" t="n"/>
      <c r="U83" s="10" t="n"/>
      <c r="V83" s="10" t="n"/>
      <c r="W83" s="10" t="n"/>
      <c r="X83" s="12">
        <f>IFERROR(ABS(Q83-R83)/Dashboard!$B$9*Dashboard!$B$10*W83,"")</f>
        <v/>
      </c>
      <c r="Y83" s="13">
        <f>IFERROR(IF(N83="Long",U83-Q83,IF(N83="Short",Q83-U83,"")),"")</f>
        <v/>
      </c>
      <c r="Z83" s="13">
        <f>IFERROR(Y83/Dashboard!$B$9,"")</f>
        <v/>
      </c>
      <c r="AA83" s="12">
        <f>IFERROR(Z83*Dashboard!$B$10*W83,"")</f>
        <v/>
      </c>
      <c r="AB83" s="14">
        <f>IFERROR(AA83/X83,"")</f>
        <v/>
      </c>
      <c r="AC83" s="10">
        <f>IF(AA83="","",IF(AA83&gt;0,1,0))</f>
        <v/>
      </c>
      <c r="AD83" s="12">
        <f>AD82+IF(AA83="",0,AA83)</f>
        <v/>
      </c>
      <c r="AE83" s="12">
        <f>MAX(AE82,AD83)</f>
        <v/>
      </c>
      <c r="AF83" s="12">
        <f>AE83-AD83</f>
        <v/>
      </c>
      <c r="AG83" s="10" t="n"/>
    </row>
    <row r="84">
      <c r="A84" s="10">
        <f>ROW()-2</f>
        <v/>
      </c>
      <c r="B84" s="10" t="n"/>
      <c r="C84" s="10" t="n"/>
      <c r="D84" s="10" t="n"/>
      <c r="E84" s="10" t="n"/>
      <c r="F84" s="10" t="n"/>
      <c r="G84" s="10" t="n"/>
      <c r="H84" s="10" t="n"/>
      <c r="I84" s="13">
        <f>IFERROR(ABS(H84-G84),"")</f>
        <v/>
      </c>
      <c r="J84" s="10" t="n"/>
      <c r="K84" s="10" t="n"/>
      <c r="L84" s="10">
        <f>IF(K84="","",IF(K84&gt;=Dashboard!$B$11,"A+","B-"))</f>
        <v/>
      </c>
      <c r="M84" s="10" t="n"/>
      <c r="N84" s="10" t="n"/>
      <c r="O84" s="10">
        <f>IF(OR(N84="",F84=""),"",IF(OR(AND(F84="Up",N84="Long"),AND(F84="Down",N84="Short")),"OK","CHECK"))</f>
        <v/>
      </c>
      <c r="P84" s="10" t="n"/>
      <c r="Q84" s="10" t="n"/>
      <c r="R84" s="10" t="n"/>
      <c r="S84" s="10" t="n"/>
      <c r="T84" s="10" t="n"/>
      <c r="U84" s="10" t="n"/>
      <c r="V84" s="10" t="n"/>
      <c r="W84" s="10" t="n"/>
      <c r="X84" s="12">
        <f>IFERROR(ABS(Q84-R84)/Dashboard!$B$9*Dashboard!$B$10*W84,"")</f>
        <v/>
      </c>
      <c r="Y84" s="13">
        <f>IFERROR(IF(N84="Long",U84-Q84,IF(N84="Short",Q84-U84,"")),"")</f>
        <v/>
      </c>
      <c r="Z84" s="13">
        <f>IFERROR(Y84/Dashboard!$B$9,"")</f>
        <v/>
      </c>
      <c r="AA84" s="12">
        <f>IFERROR(Z84*Dashboard!$B$10*W84,"")</f>
        <v/>
      </c>
      <c r="AB84" s="14">
        <f>IFERROR(AA84/X84,"")</f>
        <v/>
      </c>
      <c r="AC84" s="10">
        <f>IF(AA84="","",IF(AA84&gt;0,1,0))</f>
        <v/>
      </c>
      <c r="AD84" s="12">
        <f>AD83+IF(AA84="",0,AA84)</f>
        <v/>
      </c>
      <c r="AE84" s="12">
        <f>MAX(AE83,AD84)</f>
        <v/>
      </c>
      <c r="AF84" s="12">
        <f>AE84-AD84</f>
        <v/>
      </c>
      <c r="AG84" s="10" t="n"/>
    </row>
    <row r="85">
      <c r="A85" s="10">
        <f>ROW()-2</f>
        <v/>
      </c>
      <c r="B85" s="10" t="n"/>
      <c r="C85" s="10" t="n"/>
      <c r="D85" s="10" t="n"/>
      <c r="E85" s="10" t="n"/>
      <c r="F85" s="10" t="n"/>
      <c r="G85" s="10" t="n"/>
      <c r="H85" s="10" t="n"/>
      <c r="I85" s="13">
        <f>IFERROR(ABS(H85-G85),"")</f>
        <v/>
      </c>
      <c r="J85" s="10" t="n"/>
      <c r="K85" s="10" t="n"/>
      <c r="L85" s="10">
        <f>IF(K85="","",IF(K85&gt;=Dashboard!$B$11,"A+","B-"))</f>
        <v/>
      </c>
      <c r="M85" s="10" t="n"/>
      <c r="N85" s="10" t="n"/>
      <c r="O85" s="10">
        <f>IF(OR(N85="",F85=""),"",IF(OR(AND(F85="Up",N85="Long"),AND(F85="Down",N85="Short")),"OK","CHECK"))</f>
        <v/>
      </c>
      <c r="P85" s="10" t="n"/>
      <c r="Q85" s="10" t="n"/>
      <c r="R85" s="10" t="n"/>
      <c r="S85" s="10" t="n"/>
      <c r="T85" s="10" t="n"/>
      <c r="U85" s="10" t="n"/>
      <c r="V85" s="10" t="n"/>
      <c r="W85" s="10" t="n"/>
      <c r="X85" s="12">
        <f>IFERROR(ABS(Q85-R85)/Dashboard!$B$9*Dashboard!$B$10*W85,"")</f>
        <v/>
      </c>
      <c r="Y85" s="13">
        <f>IFERROR(IF(N85="Long",U85-Q85,IF(N85="Short",Q85-U85,"")),"")</f>
        <v/>
      </c>
      <c r="Z85" s="13">
        <f>IFERROR(Y85/Dashboard!$B$9,"")</f>
        <v/>
      </c>
      <c r="AA85" s="12">
        <f>IFERROR(Z85*Dashboard!$B$10*W85,"")</f>
        <v/>
      </c>
      <c r="AB85" s="14">
        <f>IFERROR(AA85/X85,"")</f>
        <v/>
      </c>
      <c r="AC85" s="10">
        <f>IF(AA85="","",IF(AA85&gt;0,1,0))</f>
        <v/>
      </c>
      <c r="AD85" s="12">
        <f>AD84+IF(AA85="",0,AA85)</f>
        <v/>
      </c>
      <c r="AE85" s="12">
        <f>MAX(AE84,AD85)</f>
        <v/>
      </c>
      <c r="AF85" s="12">
        <f>AE85-AD85</f>
        <v/>
      </c>
      <c r="AG85" s="10" t="n"/>
    </row>
    <row r="86">
      <c r="A86" s="10">
        <f>ROW()-2</f>
        <v/>
      </c>
      <c r="B86" s="10" t="n"/>
      <c r="C86" s="10" t="n"/>
      <c r="D86" s="10" t="n"/>
      <c r="E86" s="10" t="n"/>
      <c r="F86" s="10" t="n"/>
      <c r="G86" s="10" t="n"/>
      <c r="H86" s="10" t="n"/>
      <c r="I86" s="13">
        <f>IFERROR(ABS(H86-G86),"")</f>
        <v/>
      </c>
      <c r="J86" s="10" t="n"/>
      <c r="K86" s="10" t="n"/>
      <c r="L86" s="10">
        <f>IF(K86="","",IF(K86&gt;=Dashboard!$B$11,"A+","B-"))</f>
        <v/>
      </c>
      <c r="M86" s="10" t="n"/>
      <c r="N86" s="10" t="n"/>
      <c r="O86" s="10">
        <f>IF(OR(N86="",F86=""),"",IF(OR(AND(F86="Up",N86="Long"),AND(F86="Down",N86="Short")),"OK","CHECK"))</f>
        <v/>
      </c>
      <c r="P86" s="10" t="n"/>
      <c r="Q86" s="10" t="n"/>
      <c r="R86" s="10" t="n"/>
      <c r="S86" s="10" t="n"/>
      <c r="T86" s="10" t="n"/>
      <c r="U86" s="10" t="n"/>
      <c r="V86" s="10" t="n"/>
      <c r="W86" s="10" t="n"/>
      <c r="X86" s="12">
        <f>IFERROR(ABS(Q86-R86)/Dashboard!$B$9*Dashboard!$B$10*W86,"")</f>
        <v/>
      </c>
      <c r="Y86" s="13">
        <f>IFERROR(IF(N86="Long",U86-Q86,IF(N86="Short",Q86-U86,"")),"")</f>
        <v/>
      </c>
      <c r="Z86" s="13">
        <f>IFERROR(Y86/Dashboard!$B$9,"")</f>
        <v/>
      </c>
      <c r="AA86" s="12">
        <f>IFERROR(Z86*Dashboard!$B$10*W86,"")</f>
        <v/>
      </c>
      <c r="AB86" s="14">
        <f>IFERROR(AA86/X86,"")</f>
        <v/>
      </c>
      <c r="AC86" s="10">
        <f>IF(AA86="","",IF(AA86&gt;0,1,0))</f>
        <v/>
      </c>
      <c r="AD86" s="12">
        <f>AD85+IF(AA86="",0,AA86)</f>
        <v/>
      </c>
      <c r="AE86" s="12">
        <f>MAX(AE85,AD86)</f>
        <v/>
      </c>
      <c r="AF86" s="12">
        <f>AE86-AD86</f>
        <v/>
      </c>
      <c r="AG86" s="10" t="n"/>
    </row>
    <row r="87">
      <c r="A87" s="10">
        <f>ROW()-2</f>
        <v/>
      </c>
      <c r="B87" s="10" t="n"/>
      <c r="C87" s="10" t="n"/>
      <c r="D87" s="10" t="n"/>
      <c r="E87" s="10" t="n"/>
      <c r="F87" s="10" t="n"/>
      <c r="G87" s="10" t="n"/>
      <c r="H87" s="10" t="n"/>
      <c r="I87" s="13">
        <f>IFERROR(ABS(H87-G87),"")</f>
        <v/>
      </c>
      <c r="J87" s="10" t="n"/>
      <c r="K87" s="10" t="n"/>
      <c r="L87" s="10">
        <f>IF(K87="","",IF(K87&gt;=Dashboard!$B$11,"A+","B-"))</f>
        <v/>
      </c>
      <c r="M87" s="10" t="n"/>
      <c r="N87" s="10" t="n"/>
      <c r="O87" s="10">
        <f>IF(OR(N87="",F87=""),"",IF(OR(AND(F87="Up",N87="Long"),AND(F87="Down",N87="Short")),"OK","CHECK"))</f>
        <v/>
      </c>
      <c r="P87" s="10" t="n"/>
      <c r="Q87" s="10" t="n"/>
      <c r="R87" s="10" t="n"/>
      <c r="S87" s="10" t="n"/>
      <c r="T87" s="10" t="n"/>
      <c r="U87" s="10" t="n"/>
      <c r="V87" s="10" t="n"/>
      <c r="W87" s="10" t="n"/>
      <c r="X87" s="12">
        <f>IFERROR(ABS(Q87-R87)/Dashboard!$B$9*Dashboard!$B$10*W87,"")</f>
        <v/>
      </c>
      <c r="Y87" s="13">
        <f>IFERROR(IF(N87="Long",U87-Q87,IF(N87="Short",Q87-U87,"")),"")</f>
        <v/>
      </c>
      <c r="Z87" s="13">
        <f>IFERROR(Y87/Dashboard!$B$9,"")</f>
        <v/>
      </c>
      <c r="AA87" s="12">
        <f>IFERROR(Z87*Dashboard!$B$10*W87,"")</f>
        <v/>
      </c>
      <c r="AB87" s="14">
        <f>IFERROR(AA87/X87,"")</f>
        <v/>
      </c>
      <c r="AC87" s="10">
        <f>IF(AA87="","",IF(AA87&gt;0,1,0))</f>
        <v/>
      </c>
      <c r="AD87" s="12">
        <f>AD86+IF(AA87="",0,AA87)</f>
        <v/>
      </c>
      <c r="AE87" s="12">
        <f>MAX(AE86,AD87)</f>
        <v/>
      </c>
      <c r="AF87" s="12">
        <f>AE87-AD87</f>
        <v/>
      </c>
      <c r="AG87" s="10" t="n"/>
    </row>
    <row r="88">
      <c r="A88" s="10">
        <f>ROW()-2</f>
        <v/>
      </c>
      <c r="B88" s="10" t="n"/>
      <c r="C88" s="10" t="n"/>
      <c r="D88" s="10" t="n"/>
      <c r="E88" s="10" t="n"/>
      <c r="F88" s="10" t="n"/>
      <c r="G88" s="10" t="n"/>
      <c r="H88" s="10" t="n"/>
      <c r="I88" s="13">
        <f>IFERROR(ABS(H88-G88),"")</f>
        <v/>
      </c>
      <c r="J88" s="10" t="n"/>
      <c r="K88" s="10" t="n"/>
      <c r="L88" s="10">
        <f>IF(K88="","",IF(K88&gt;=Dashboard!$B$11,"A+","B-"))</f>
        <v/>
      </c>
      <c r="M88" s="10" t="n"/>
      <c r="N88" s="10" t="n"/>
      <c r="O88" s="10">
        <f>IF(OR(N88="",F88=""),"",IF(OR(AND(F88="Up",N88="Long"),AND(F88="Down",N88="Short")),"OK","CHECK"))</f>
        <v/>
      </c>
      <c r="P88" s="10" t="n"/>
      <c r="Q88" s="10" t="n"/>
      <c r="R88" s="10" t="n"/>
      <c r="S88" s="10" t="n"/>
      <c r="T88" s="10" t="n"/>
      <c r="U88" s="10" t="n"/>
      <c r="V88" s="10" t="n"/>
      <c r="W88" s="10" t="n"/>
      <c r="X88" s="12">
        <f>IFERROR(ABS(Q88-R88)/Dashboard!$B$9*Dashboard!$B$10*W88,"")</f>
        <v/>
      </c>
      <c r="Y88" s="13">
        <f>IFERROR(IF(N88="Long",U88-Q88,IF(N88="Short",Q88-U88,"")),"")</f>
        <v/>
      </c>
      <c r="Z88" s="13">
        <f>IFERROR(Y88/Dashboard!$B$9,"")</f>
        <v/>
      </c>
      <c r="AA88" s="12">
        <f>IFERROR(Z88*Dashboard!$B$10*W88,"")</f>
        <v/>
      </c>
      <c r="AB88" s="14">
        <f>IFERROR(AA88/X88,"")</f>
        <v/>
      </c>
      <c r="AC88" s="10">
        <f>IF(AA88="","",IF(AA88&gt;0,1,0))</f>
        <v/>
      </c>
      <c r="AD88" s="12">
        <f>AD87+IF(AA88="",0,AA88)</f>
        <v/>
      </c>
      <c r="AE88" s="12">
        <f>MAX(AE87,AD88)</f>
        <v/>
      </c>
      <c r="AF88" s="12">
        <f>AE88-AD88</f>
        <v/>
      </c>
      <c r="AG88" s="10" t="n"/>
    </row>
    <row r="89">
      <c r="A89" s="10">
        <f>ROW()-2</f>
        <v/>
      </c>
      <c r="B89" s="10" t="n"/>
      <c r="C89" s="10" t="n"/>
      <c r="D89" s="10" t="n"/>
      <c r="E89" s="10" t="n"/>
      <c r="F89" s="10" t="n"/>
      <c r="G89" s="10" t="n"/>
      <c r="H89" s="10" t="n"/>
      <c r="I89" s="13">
        <f>IFERROR(ABS(H89-G89),"")</f>
        <v/>
      </c>
      <c r="J89" s="10" t="n"/>
      <c r="K89" s="10" t="n"/>
      <c r="L89" s="10">
        <f>IF(K89="","",IF(K89&gt;=Dashboard!$B$11,"A+","B-"))</f>
        <v/>
      </c>
      <c r="M89" s="10" t="n"/>
      <c r="N89" s="10" t="n"/>
      <c r="O89" s="10">
        <f>IF(OR(N89="",F89=""),"",IF(OR(AND(F89="Up",N89="Long"),AND(F89="Down",N89="Short")),"OK","CHECK"))</f>
        <v/>
      </c>
      <c r="P89" s="10" t="n"/>
      <c r="Q89" s="10" t="n"/>
      <c r="R89" s="10" t="n"/>
      <c r="S89" s="10" t="n"/>
      <c r="T89" s="10" t="n"/>
      <c r="U89" s="10" t="n"/>
      <c r="V89" s="10" t="n"/>
      <c r="W89" s="10" t="n"/>
      <c r="X89" s="12">
        <f>IFERROR(ABS(Q89-R89)/Dashboard!$B$9*Dashboard!$B$10*W89,"")</f>
        <v/>
      </c>
      <c r="Y89" s="13">
        <f>IFERROR(IF(N89="Long",U89-Q89,IF(N89="Short",Q89-U89,"")),"")</f>
        <v/>
      </c>
      <c r="Z89" s="13">
        <f>IFERROR(Y89/Dashboard!$B$9,"")</f>
        <v/>
      </c>
      <c r="AA89" s="12">
        <f>IFERROR(Z89*Dashboard!$B$10*W89,"")</f>
        <v/>
      </c>
      <c r="AB89" s="14">
        <f>IFERROR(AA89/X89,"")</f>
        <v/>
      </c>
      <c r="AC89" s="10">
        <f>IF(AA89="","",IF(AA89&gt;0,1,0))</f>
        <v/>
      </c>
      <c r="AD89" s="12">
        <f>AD88+IF(AA89="",0,AA89)</f>
        <v/>
      </c>
      <c r="AE89" s="12">
        <f>MAX(AE88,AD89)</f>
        <v/>
      </c>
      <c r="AF89" s="12">
        <f>AE89-AD89</f>
        <v/>
      </c>
      <c r="AG89" s="10" t="n"/>
    </row>
    <row r="90">
      <c r="A90" s="10">
        <f>ROW()-2</f>
        <v/>
      </c>
      <c r="B90" s="10" t="n"/>
      <c r="C90" s="10" t="n"/>
      <c r="D90" s="10" t="n"/>
      <c r="E90" s="10" t="n"/>
      <c r="F90" s="10" t="n"/>
      <c r="G90" s="10" t="n"/>
      <c r="H90" s="10" t="n"/>
      <c r="I90" s="13">
        <f>IFERROR(ABS(H90-G90),"")</f>
        <v/>
      </c>
      <c r="J90" s="10" t="n"/>
      <c r="K90" s="10" t="n"/>
      <c r="L90" s="10">
        <f>IF(K90="","",IF(K90&gt;=Dashboard!$B$11,"A+","B-"))</f>
        <v/>
      </c>
      <c r="M90" s="10" t="n"/>
      <c r="N90" s="10" t="n"/>
      <c r="O90" s="10">
        <f>IF(OR(N90="",F90=""),"",IF(OR(AND(F90="Up",N90="Long"),AND(F90="Down",N90="Short")),"OK","CHECK"))</f>
        <v/>
      </c>
      <c r="P90" s="10" t="n"/>
      <c r="Q90" s="10" t="n"/>
      <c r="R90" s="10" t="n"/>
      <c r="S90" s="10" t="n"/>
      <c r="T90" s="10" t="n"/>
      <c r="U90" s="10" t="n"/>
      <c r="V90" s="10" t="n"/>
      <c r="W90" s="10" t="n"/>
      <c r="X90" s="12">
        <f>IFERROR(ABS(Q90-R90)/Dashboard!$B$9*Dashboard!$B$10*W90,"")</f>
        <v/>
      </c>
      <c r="Y90" s="13">
        <f>IFERROR(IF(N90="Long",U90-Q90,IF(N90="Short",Q90-U90,"")),"")</f>
        <v/>
      </c>
      <c r="Z90" s="13">
        <f>IFERROR(Y90/Dashboard!$B$9,"")</f>
        <v/>
      </c>
      <c r="AA90" s="12">
        <f>IFERROR(Z90*Dashboard!$B$10*W90,"")</f>
        <v/>
      </c>
      <c r="AB90" s="14">
        <f>IFERROR(AA90/X90,"")</f>
        <v/>
      </c>
      <c r="AC90" s="10">
        <f>IF(AA90="","",IF(AA90&gt;0,1,0))</f>
        <v/>
      </c>
      <c r="AD90" s="12">
        <f>AD89+IF(AA90="",0,AA90)</f>
        <v/>
      </c>
      <c r="AE90" s="12">
        <f>MAX(AE89,AD90)</f>
        <v/>
      </c>
      <c r="AF90" s="12">
        <f>AE90-AD90</f>
        <v/>
      </c>
      <c r="AG90" s="10" t="n"/>
    </row>
    <row r="91">
      <c r="A91" s="10">
        <f>ROW()-2</f>
        <v/>
      </c>
      <c r="B91" s="10" t="n"/>
      <c r="C91" s="10" t="n"/>
      <c r="D91" s="10" t="n"/>
      <c r="E91" s="10" t="n"/>
      <c r="F91" s="10" t="n"/>
      <c r="G91" s="10" t="n"/>
      <c r="H91" s="10" t="n"/>
      <c r="I91" s="13">
        <f>IFERROR(ABS(H91-G91),"")</f>
        <v/>
      </c>
      <c r="J91" s="10" t="n"/>
      <c r="K91" s="10" t="n"/>
      <c r="L91" s="10">
        <f>IF(K91="","",IF(K91&gt;=Dashboard!$B$11,"A+","B-"))</f>
        <v/>
      </c>
      <c r="M91" s="10" t="n"/>
      <c r="N91" s="10" t="n"/>
      <c r="O91" s="10">
        <f>IF(OR(N91="",F91=""),"",IF(OR(AND(F91="Up",N91="Long"),AND(F91="Down",N91="Short")),"OK","CHECK"))</f>
        <v/>
      </c>
      <c r="P91" s="10" t="n"/>
      <c r="Q91" s="10" t="n"/>
      <c r="R91" s="10" t="n"/>
      <c r="S91" s="10" t="n"/>
      <c r="T91" s="10" t="n"/>
      <c r="U91" s="10" t="n"/>
      <c r="V91" s="10" t="n"/>
      <c r="W91" s="10" t="n"/>
      <c r="X91" s="12">
        <f>IFERROR(ABS(Q91-R91)/Dashboard!$B$9*Dashboard!$B$10*W91,"")</f>
        <v/>
      </c>
      <c r="Y91" s="13">
        <f>IFERROR(IF(N91="Long",U91-Q91,IF(N91="Short",Q91-U91,"")),"")</f>
        <v/>
      </c>
      <c r="Z91" s="13">
        <f>IFERROR(Y91/Dashboard!$B$9,"")</f>
        <v/>
      </c>
      <c r="AA91" s="12">
        <f>IFERROR(Z91*Dashboard!$B$10*W91,"")</f>
        <v/>
      </c>
      <c r="AB91" s="14">
        <f>IFERROR(AA91/X91,"")</f>
        <v/>
      </c>
      <c r="AC91" s="10">
        <f>IF(AA91="","",IF(AA91&gt;0,1,0))</f>
        <v/>
      </c>
      <c r="AD91" s="12">
        <f>AD90+IF(AA91="",0,AA91)</f>
        <v/>
      </c>
      <c r="AE91" s="12">
        <f>MAX(AE90,AD91)</f>
        <v/>
      </c>
      <c r="AF91" s="12">
        <f>AE91-AD91</f>
        <v/>
      </c>
      <c r="AG91" s="10" t="n"/>
    </row>
    <row r="92">
      <c r="A92" s="10">
        <f>ROW()-2</f>
        <v/>
      </c>
      <c r="B92" s="10" t="n"/>
      <c r="C92" s="10" t="n"/>
      <c r="D92" s="10" t="n"/>
      <c r="E92" s="10" t="n"/>
      <c r="F92" s="10" t="n"/>
      <c r="G92" s="10" t="n"/>
      <c r="H92" s="10" t="n"/>
      <c r="I92" s="13">
        <f>IFERROR(ABS(H92-G92),"")</f>
        <v/>
      </c>
      <c r="J92" s="10" t="n"/>
      <c r="K92" s="10" t="n"/>
      <c r="L92" s="10">
        <f>IF(K92="","",IF(K92&gt;=Dashboard!$B$11,"A+","B-"))</f>
        <v/>
      </c>
      <c r="M92" s="10" t="n"/>
      <c r="N92" s="10" t="n"/>
      <c r="O92" s="10">
        <f>IF(OR(N92="",F92=""),"",IF(OR(AND(F92="Up",N92="Long"),AND(F92="Down",N92="Short")),"OK","CHECK"))</f>
        <v/>
      </c>
      <c r="P92" s="10" t="n"/>
      <c r="Q92" s="10" t="n"/>
      <c r="R92" s="10" t="n"/>
      <c r="S92" s="10" t="n"/>
      <c r="T92" s="10" t="n"/>
      <c r="U92" s="10" t="n"/>
      <c r="V92" s="10" t="n"/>
      <c r="W92" s="10" t="n"/>
      <c r="X92" s="12">
        <f>IFERROR(ABS(Q92-R92)/Dashboard!$B$9*Dashboard!$B$10*W92,"")</f>
        <v/>
      </c>
      <c r="Y92" s="13">
        <f>IFERROR(IF(N92="Long",U92-Q92,IF(N92="Short",Q92-U92,"")),"")</f>
        <v/>
      </c>
      <c r="Z92" s="13">
        <f>IFERROR(Y92/Dashboard!$B$9,"")</f>
        <v/>
      </c>
      <c r="AA92" s="12">
        <f>IFERROR(Z92*Dashboard!$B$10*W92,"")</f>
        <v/>
      </c>
      <c r="AB92" s="14">
        <f>IFERROR(AA92/X92,"")</f>
        <v/>
      </c>
      <c r="AC92" s="10">
        <f>IF(AA92="","",IF(AA92&gt;0,1,0))</f>
        <v/>
      </c>
      <c r="AD92" s="12">
        <f>AD91+IF(AA92="",0,AA92)</f>
        <v/>
      </c>
      <c r="AE92" s="12">
        <f>MAX(AE91,AD92)</f>
        <v/>
      </c>
      <c r="AF92" s="12">
        <f>AE92-AD92</f>
        <v/>
      </c>
      <c r="AG92" s="10" t="n"/>
    </row>
    <row r="93">
      <c r="A93" s="10">
        <f>ROW()-2</f>
        <v/>
      </c>
      <c r="B93" s="10" t="n"/>
      <c r="C93" s="10" t="n"/>
      <c r="D93" s="10" t="n"/>
      <c r="E93" s="10" t="n"/>
      <c r="F93" s="10" t="n"/>
      <c r="G93" s="10" t="n"/>
      <c r="H93" s="10" t="n"/>
      <c r="I93" s="13">
        <f>IFERROR(ABS(H93-G93),"")</f>
        <v/>
      </c>
      <c r="J93" s="10" t="n"/>
      <c r="K93" s="10" t="n"/>
      <c r="L93" s="10">
        <f>IF(K93="","",IF(K93&gt;=Dashboard!$B$11,"A+","B-"))</f>
        <v/>
      </c>
      <c r="M93" s="10" t="n"/>
      <c r="N93" s="10" t="n"/>
      <c r="O93" s="10">
        <f>IF(OR(N93="",F93=""),"",IF(OR(AND(F93="Up",N93="Long"),AND(F93="Down",N93="Short")),"OK","CHECK"))</f>
        <v/>
      </c>
      <c r="P93" s="10" t="n"/>
      <c r="Q93" s="10" t="n"/>
      <c r="R93" s="10" t="n"/>
      <c r="S93" s="10" t="n"/>
      <c r="T93" s="10" t="n"/>
      <c r="U93" s="10" t="n"/>
      <c r="V93" s="10" t="n"/>
      <c r="W93" s="10" t="n"/>
      <c r="X93" s="12">
        <f>IFERROR(ABS(Q93-R93)/Dashboard!$B$9*Dashboard!$B$10*W93,"")</f>
        <v/>
      </c>
      <c r="Y93" s="13">
        <f>IFERROR(IF(N93="Long",U93-Q93,IF(N93="Short",Q93-U93,"")),"")</f>
        <v/>
      </c>
      <c r="Z93" s="13">
        <f>IFERROR(Y93/Dashboard!$B$9,"")</f>
        <v/>
      </c>
      <c r="AA93" s="12">
        <f>IFERROR(Z93*Dashboard!$B$10*W93,"")</f>
        <v/>
      </c>
      <c r="AB93" s="14">
        <f>IFERROR(AA93/X93,"")</f>
        <v/>
      </c>
      <c r="AC93" s="10">
        <f>IF(AA93="","",IF(AA93&gt;0,1,0))</f>
        <v/>
      </c>
      <c r="AD93" s="12">
        <f>AD92+IF(AA93="",0,AA93)</f>
        <v/>
      </c>
      <c r="AE93" s="12">
        <f>MAX(AE92,AD93)</f>
        <v/>
      </c>
      <c r="AF93" s="12">
        <f>AE93-AD93</f>
        <v/>
      </c>
      <c r="AG93" s="10" t="n"/>
    </row>
    <row r="94">
      <c r="A94" s="10">
        <f>ROW()-2</f>
        <v/>
      </c>
      <c r="B94" s="10" t="n"/>
      <c r="C94" s="10" t="n"/>
      <c r="D94" s="10" t="n"/>
      <c r="E94" s="10" t="n"/>
      <c r="F94" s="10" t="n"/>
      <c r="G94" s="10" t="n"/>
      <c r="H94" s="10" t="n"/>
      <c r="I94" s="13">
        <f>IFERROR(ABS(H94-G94),"")</f>
        <v/>
      </c>
      <c r="J94" s="10" t="n"/>
      <c r="K94" s="10" t="n"/>
      <c r="L94" s="10">
        <f>IF(K94="","",IF(K94&gt;=Dashboard!$B$11,"A+","B-"))</f>
        <v/>
      </c>
      <c r="M94" s="10" t="n"/>
      <c r="N94" s="10" t="n"/>
      <c r="O94" s="10">
        <f>IF(OR(N94="",F94=""),"",IF(OR(AND(F94="Up",N94="Long"),AND(F94="Down",N94="Short")),"OK","CHECK"))</f>
        <v/>
      </c>
      <c r="P94" s="10" t="n"/>
      <c r="Q94" s="10" t="n"/>
      <c r="R94" s="10" t="n"/>
      <c r="S94" s="10" t="n"/>
      <c r="T94" s="10" t="n"/>
      <c r="U94" s="10" t="n"/>
      <c r="V94" s="10" t="n"/>
      <c r="W94" s="10" t="n"/>
      <c r="X94" s="12">
        <f>IFERROR(ABS(Q94-R94)/Dashboard!$B$9*Dashboard!$B$10*W94,"")</f>
        <v/>
      </c>
      <c r="Y94" s="13">
        <f>IFERROR(IF(N94="Long",U94-Q94,IF(N94="Short",Q94-U94,"")),"")</f>
        <v/>
      </c>
      <c r="Z94" s="13">
        <f>IFERROR(Y94/Dashboard!$B$9,"")</f>
        <v/>
      </c>
      <c r="AA94" s="12">
        <f>IFERROR(Z94*Dashboard!$B$10*W94,"")</f>
        <v/>
      </c>
      <c r="AB94" s="14">
        <f>IFERROR(AA94/X94,"")</f>
        <v/>
      </c>
      <c r="AC94" s="10">
        <f>IF(AA94="","",IF(AA94&gt;0,1,0))</f>
        <v/>
      </c>
      <c r="AD94" s="12">
        <f>AD93+IF(AA94="",0,AA94)</f>
        <v/>
      </c>
      <c r="AE94" s="12">
        <f>MAX(AE93,AD94)</f>
        <v/>
      </c>
      <c r="AF94" s="12">
        <f>AE94-AD94</f>
        <v/>
      </c>
      <c r="AG94" s="10" t="n"/>
    </row>
    <row r="95">
      <c r="A95" s="10">
        <f>ROW()-2</f>
        <v/>
      </c>
      <c r="B95" s="10" t="n"/>
      <c r="C95" s="10" t="n"/>
      <c r="D95" s="10" t="n"/>
      <c r="E95" s="10" t="n"/>
      <c r="F95" s="10" t="n"/>
      <c r="G95" s="10" t="n"/>
      <c r="H95" s="10" t="n"/>
      <c r="I95" s="13">
        <f>IFERROR(ABS(H95-G95),"")</f>
        <v/>
      </c>
      <c r="J95" s="10" t="n"/>
      <c r="K95" s="10" t="n"/>
      <c r="L95" s="10">
        <f>IF(K95="","",IF(K95&gt;=Dashboard!$B$11,"A+","B-"))</f>
        <v/>
      </c>
      <c r="M95" s="10" t="n"/>
      <c r="N95" s="10" t="n"/>
      <c r="O95" s="10">
        <f>IF(OR(N95="",F95=""),"",IF(OR(AND(F95="Up",N95="Long"),AND(F95="Down",N95="Short")),"OK","CHECK"))</f>
        <v/>
      </c>
      <c r="P95" s="10" t="n"/>
      <c r="Q95" s="10" t="n"/>
      <c r="R95" s="10" t="n"/>
      <c r="S95" s="10" t="n"/>
      <c r="T95" s="10" t="n"/>
      <c r="U95" s="10" t="n"/>
      <c r="V95" s="10" t="n"/>
      <c r="W95" s="10" t="n"/>
      <c r="X95" s="12">
        <f>IFERROR(ABS(Q95-R95)/Dashboard!$B$9*Dashboard!$B$10*W95,"")</f>
        <v/>
      </c>
      <c r="Y95" s="13">
        <f>IFERROR(IF(N95="Long",U95-Q95,IF(N95="Short",Q95-U95,"")),"")</f>
        <v/>
      </c>
      <c r="Z95" s="13">
        <f>IFERROR(Y95/Dashboard!$B$9,"")</f>
        <v/>
      </c>
      <c r="AA95" s="12">
        <f>IFERROR(Z95*Dashboard!$B$10*W95,"")</f>
        <v/>
      </c>
      <c r="AB95" s="14">
        <f>IFERROR(AA95/X95,"")</f>
        <v/>
      </c>
      <c r="AC95" s="10">
        <f>IF(AA95="","",IF(AA95&gt;0,1,0))</f>
        <v/>
      </c>
      <c r="AD95" s="12">
        <f>AD94+IF(AA95="",0,AA95)</f>
        <v/>
      </c>
      <c r="AE95" s="12">
        <f>MAX(AE94,AD95)</f>
        <v/>
      </c>
      <c r="AF95" s="12">
        <f>AE95-AD95</f>
        <v/>
      </c>
      <c r="AG95" s="10" t="n"/>
    </row>
    <row r="96">
      <c r="A96" s="10">
        <f>ROW()-2</f>
        <v/>
      </c>
      <c r="B96" s="10" t="n"/>
      <c r="C96" s="10" t="n"/>
      <c r="D96" s="10" t="n"/>
      <c r="E96" s="10" t="n"/>
      <c r="F96" s="10" t="n"/>
      <c r="G96" s="10" t="n"/>
      <c r="H96" s="10" t="n"/>
      <c r="I96" s="13">
        <f>IFERROR(ABS(H96-G96),"")</f>
        <v/>
      </c>
      <c r="J96" s="10" t="n"/>
      <c r="K96" s="10" t="n"/>
      <c r="L96" s="10">
        <f>IF(K96="","",IF(K96&gt;=Dashboard!$B$11,"A+","B-"))</f>
        <v/>
      </c>
      <c r="M96" s="10" t="n"/>
      <c r="N96" s="10" t="n"/>
      <c r="O96" s="10">
        <f>IF(OR(N96="",F96=""),"",IF(OR(AND(F96="Up",N96="Long"),AND(F96="Down",N96="Short")),"OK","CHECK"))</f>
        <v/>
      </c>
      <c r="P96" s="10" t="n"/>
      <c r="Q96" s="10" t="n"/>
      <c r="R96" s="10" t="n"/>
      <c r="S96" s="10" t="n"/>
      <c r="T96" s="10" t="n"/>
      <c r="U96" s="10" t="n"/>
      <c r="V96" s="10" t="n"/>
      <c r="W96" s="10" t="n"/>
      <c r="X96" s="12">
        <f>IFERROR(ABS(Q96-R96)/Dashboard!$B$9*Dashboard!$B$10*W96,"")</f>
        <v/>
      </c>
      <c r="Y96" s="13">
        <f>IFERROR(IF(N96="Long",U96-Q96,IF(N96="Short",Q96-U96,"")),"")</f>
        <v/>
      </c>
      <c r="Z96" s="13">
        <f>IFERROR(Y96/Dashboard!$B$9,"")</f>
        <v/>
      </c>
      <c r="AA96" s="12">
        <f>IFERROR(Z96*Dashboard!$B$10*W96,"")</f>
        <v/>
      </c>
      <c r="AB96" s="14">
        <f>IFERROR(AA96/X96,"")</f>
        <v/>
      </c>
      <c r="AC96" s="10">
        <f>IF(AA96="","",IF(AA96&gt;0,1,0))</f>
        <v/>
      </c>
      <c r="AD96" s="12">
        <f>AD95+IF(AA96="",0,AA96)</f>
        <v/>
      </c>
      <c r="AE96" s="12">
        <f>MAX(AE95,AD96)</f>
        <v/>
      </c>
      <c r="AF96" s="12">
        <f>AE96-AD96</f>
        <v/>
      </c>
      <c r="AG96" s="10" t="n"/>
    </row>
    <row r="97">
      <c r="A97" s="10">
        <f>ROW()-2</f>
        <v/>
      </c>
      <c r="B97" s="10" t="n"/>
      <c r="C97" s="10" t="n"/>
      <c r="D97" s="10" t="n"/>
      <c r="E97" s="10" t="n"/>
      <c r="F97" s="10" t="n"/>
      <c r="G97" s="10" t="n"/>
      <c r="H97" s="10" t="n"/>
      <c r="I97" s="13">
        <f>IFERROR(ABS(H97-G97),"")</f>
        <v/>
      </c>
      <c r="J97" s="10" t="n"/>
      <c r="K97" s="10" t="n"/>
      <c r="L97" s="10">
        <f>IF(K97="","",IF(K97&gt;=Dashboard!$B$11,"A+","B-"))</f>
        <v/>
      </c>
      <c r="M97" s="10" t="n"/>
      <c r="N97" s="10" t="n"/>
      <c r="O97" s="10">
        <f>IF(OR(N97="",F97=""),"",IF(OR(AND(F97="Up",N97="Long"),AND(F97="Down",N97="Short")),"OK","CHECK"))</f>
        <v/>
      </c>
      <c r="P97" s="10" t="n"/>
      <c r="Q97" s="10" t="n"/>
      <c r="R97" s="10" t="n"/>
      <c r="S97" s="10" t="n"/>
      <c r="T97" s="10" t="n"/>
      <c r="U97" s="10" t="n"/>
      <c r="V97" s="10" t="n"/>
      <c r="W97" s="10" t="n"/>
      <c r="X97" s="12">
        <f>IFERROR(ABS(Q97-R97)/Dashboard!$B$9*Dashboard!$B$10*W97,"")</f>
        <v/>
      </c>
      <c r="Y97" s="13">
        <f>IFERROR(IF(N97="Long",U97-Q97,IF(N97="Short",Q97-U97,"")),"")</f>
        <v/>
      </c>
      <c r="Z97" s="13">
        <f>IFERROR(Y97/Dashboard!$B$9,"")</f>
        <v/>
      </c>
      <c r="AA97" s="12">
        <f>IFERROR(Z97*Dashboard!$B$10*W97,"")</f>
        <v/>
      </c>
      <c r="AB97" s="14">
        <f>IFERROR(AA97/X97,"")</f>
        <v/>
      </c>
      <c r="AC97" s="10">
        <f>IF(AA97="","",IF(AA97&gt;0,1,0))</f>
        <v/>
      </c>
      <c r="AD97" s="12">
        <f>AD96+IF(AA97="",0,AA97)</f>
        <v/>
      </c>
      <c r="AE97" s="12">
        <f>MAX(AE96,AD97)</f>
        <v/>
      </c>
      <c r="AF97" s="12">
        <f>AE97-AD97</f>
        <v/>
      </c>
      <c r="AG97" s="10" t="n"/>
    </row>
    <row r="98">
      <c r="A98" s="10">
        <f>ROW()-2</f>
        <v/>
      </c>
      <c r="B98" s="10" t="n"/>
      <c r="C98" s="10" t="n"/>
      <c r="D98" s="10" t="n"/>
      <c r="E98" s="10" t="n"/>
      <c r="F98" s="10" t="n"/>
      <c r="G98" s="10" t="n"/>
      <c r="H98" s="10" t="n"/>
      <c r="I98" s="13">
        <f>IFERROR(ABS(H98-G98),"")</f>
        <v/>
      </c>
      <c r="J98" s="10" t="n"/>
      <c r="K98" s="10" t="n"/>
      <c r="L98" s="10">
        <f>IF(K98="","",IF(K98&gt;=Dashboard!$B$11,"A+","B-"))</f>
        <v/>
      </c>
      <c r="M98" s="10" t="n"/>
      <c r="N98" s="10" t="n"/>
      <c r="O98" s="10">
        <f>IF(OR(N98="",F98=""),"",IF(OR(AND(F98="Up",N98="Long"),AND(F98="Down",N98="Short")),"OK","CHECK"))</f>
        <v/>
      </c>
      <c r="P98" s="10" t="n"/>
      <c r="Q98" s="10" t="n"/>
      <c r="R98" s="10" t="n"/>
      <c r="S98" s="10" t="n"/>
      <c r="T98" s="10" t="n"/>
      <c r="U98" s="10" t="n"/>
      <c r="V98" s="10" t="n"/>
      <c r="W98" s="10" t="n"/>
      <c r="X98" s="12">
        <f>IFERROR(ABS(Q98-R98)/Dashboard!$B$9*Dashboard!$B$10*W98,"")</f>
        <v/>
      </c>
      <c r="Y98" s="13">
        <f>IFERROR(IF(N98="Long",U98-Q98,IF(N98="Short",Q98-U98,"")),"")</f>
        <v/>
      </c>
      <c r="Z98" s="13">
        <f>IFERROR(Y98/Dashboard!$B$9,"")</f>
        <v/>
      </c>
      <c r="AA98" s="12">
        <f>IFERROR(Z98*Dashboard!$B$10*W98,"")</f>
        <v/>
      </c>
      <c r="AB98" s="14">
        <f>IFERROR(AA98/X98,"")</f>
        <v/>
      </c>
      <c r="AC98" s="10">
        <f>IF(AA98="","",IF(AA98&gt;0,1,0))</f>
        <v/>
      </c>
      <c r="AD98" s="12">
        <f>AD97+IF(AA98="",0,AA98)</f>
        <v/>
      </c>
      <c r="AE98" s="12">
        <f>MAX(AE97,AD98)</f>
        <v/>
      </c>
      <c r="AF98" s="12">
        <f>AE98-AD98</f>
        <v/>
      </c>
      <c r="AG98" s="10" t="n"/>
    </row>
    <row r="99">
      <c r="A99" s="10">
        <f>ROW()-2</f>
        <v/>
      </c>
      <c r="B99" s="10" t="n"/>
      <c r="C99" s="10" t="n"/>
      <c r="D99" s="10" t="n"/>
      <c r="E99" s="10" t="n"/>
      <c r="F99" s="10" t="n"/>
      <c r="G99" s="10" t="n"/>
      <c r="H99" s="10" t="n"/>
      <c r="I99" s="13">
        <f>IFERROR(ABS(H99-G99),"")</f>
        <v/>
      </c>
      <c r="J99" s="10" t="n"/>
      <c r="K99" s="10" t="n"/>
      <c r="L99" s="10">
        <f>IF(K99="","",IF(K99&gt;=Dashboard!$B$11,"A+","B-"))</f>
        <v/>
      </c>
      <c r="M99" s="10" t="n"/>
      <c r="N99" s="10" t="n"/>
      <c r="O99" s="10">
        <f>IF(OR(N99="",F99=""),"",IF(OR(AND(F99="Up",N99="Long"),AND(F99="Down",N99="Short")),"OK","CHECK"))</f>
        <v/>
      </c>
      <c r="P99" s="10" t="n"/>
      <c r="Q99" s="10" t="n"/>
      <c r="R99" s="10" t="n"/>
      <c r="S99" s="10" t="n"/>
      <c r="T99" s="10" t="n"/>
      <c r="U99" s="10" t="n"/>
      <c r="V99" s="10" t="n"/>
      <c r="W99" s="10" t="n"/>
      <c r="X99" s="12">
        <f>IFERROR(ABS(Q99-R99)/Dashboard!$B$9*Dashboard!$B$10*W99,"")</f>
        <v/>
      </c>
      <c r="Y99" s="13">
        <f>IFERROR(IF(N99="Long",U99-Q99,IF(N99="Short",Q99-U99,"")),"")</f>
        <v/>
      </c>
      <c r="Z99" s="13">
        <f>IFERROR(Y99/Dashboard!$B$9,"")</f>
        <v/>
      </c>
      <c r="AA99" s="12">
        <f>IFERROR(Z99*Dashboard!$B$10*W99,"")</f>
        <v/>
      </c>
      <c r="AB99" s="14">
        <f>IFERROR(AA99/X99,"")</f>
        <v/>
      </c>
      <c r="AC99" s="10">
        <f>IF(AA99="","",IF(AA99&gt;0,1,0))</f>
        <v/>
      </c>
      <c r="AD99" s="12">
        <f>AD98+IF(AA99="",0,AA99)</f>
        <v/>
      </c>
      <c r="AE99" s="12">
        <f>MAX(AE98,AD99)</f>
        <v/>
      </c>
      <c r="AF99" s="12">
        <f>AE99-AD99</f>
        <v/>
      </c>
      <c r="AG99" s="10" t="n"/>
    </row>
    <row r="100">
      <c r="A100" s="10">
        <f>ROW()-2</f>
        <v/>
      </c>
      <c r="B100" s="10" t="n"/>
      <c r="C100" s="10" t="n"/>
      <c r="D100" s="10" t="n"/>
      <c r="E100" s="10" t="n"/>
      <c r="F100" s="10" t="n"/>
      <c r="G100" s="10" t="n"/>
      <c r="H100" s="10" t="n"/>
      <c r="I100" s="13">
        <f>IFERROR(ABS(H100-G100),"")</f>
        <v/>
      </c>
      <c r="J100" s="10" t="n"/>
      <c r="K100" s="10" t="n"/>
      <c r="L100" s="10">
        <f>IF(K100="","",IF(K100&gt;=Dashboard!$B$11,"A+","B-"))</f>
        <v/>
      </c>
      <c r="M100" s="10" t="n"/>
      <c r="N100" s="10" t="n"/>
      <c r="O100" s="10">
        <f>IF(OR(N100="",F100=""),"",IF(OR(AND(F100="Up",N100="Long"),AND(F100="Down",N100="Short")),"OK","CHECK"))</f>
        <v/>
      </c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2">
        <f>IFERROR(ABS(Q100-R100)/Dashboard!$B$9*Dashboard!$B$10*W100,"")</f>
        <v/>
      </c>
      <c r="Y100" s="13">
        <f>IFERROR(IF(N100="Long",U100-Q100,IF(N100="Short",Q100-U100,"")),"")</f>
        <v/>
      </c>
      <c r="Z100" s="13">
        <f>IFERROR(Y100/Dashboard!$B$9,"")</f>
        <v/>
      </c>
      <c r="AA100" s="12">
        <f>IFERROR(Z100*Dashboard!$B$10*W100,"")</f>
        <v/>
      </c>
      <c r="AB100" s="14">
        <f>IFERROR(AA100/X100,"")</f>
        <v/>
      </c>
      <c r="AC100" s="10">
        <f>IF(AA100="","",IF(AA100&gt;0,1,0))</f>
        <v/>
      </c>
      <c r="AD100" s="12">
        <f>AD99+IF(AA100="",0,AA100)</f>
        <v/>
      </c>
      <c r="AE100" s="12">
        <f>MAX(AE99,AD100)</f>
        <v/>
      </c>
      <c r="AF100" s="12">
        <f>AE100-AD100</f>
        <v/>
      </c>
      <c r="AG100" s="10" t="n"/>
    </row>
    <row r="101">
      <c r="A101" s="10">
        <f>ROW()-2</f>
        <v/>
      </c>
      <c r="B101" s="10" t="n"/>
      <c r="C101" s="10" t="n"/>
      <c r="D101" s="10" t="n"/>
      <c r="E101" s="10" t="n"/>
      <c r="F101" s="10" t="n"/>
      <c r="G101" s="10" t="n"/>
      <c r="H101" s="10" t="n"/>
      <c r="I101" s="13">
        <f>IFERROR(ABS(H101-G101),"")</f>
        <v/>
      </c>
      <c r="J101" s="10" t="n"/>
      <c r="K101" s="10" t="n"/>
      <c r="L101" s="10">
        <f>IF(K101="","",IF(K101&gt;=Dashboard!$B$11,"A+","B-"))</f>
        <v/>
      </c>
      <c r="M101" s="10" t="n"/>
      <c r="N101" s="10" t="n"/>
      <c r="O101" s="10">
        <f>IF(OR(N101="",F101=""),"",IF(OR(AND(F101="Up",N101="Long"),AND(F101="Down",N101="Short")),"OK","CHECK"))</f>
        <v/>
      </c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2">
        <f>IFERROR(ABS(Q101-R101)/Dashboard!$B$9*Dashboard!$B$10*W101,"")</f>
        <v/>
      </c>
      <c r="Y101" s="13">
        <f>IFERROR(IF(N101="Long",U101-Q101,IF(N101="Short",Q101-U101,"")),"")</f>
        <v/>
      </c>
      <c r="Z101" s="13">
        <f>IFERROR(Y101/Dashboard!$B$9,"")</f>
        <v/>
      </c>
      <c r="AA101" s="12">
        <f>IFERROR(Z101*Dashboard!$B$10*W101,"")</f>
        <v/>
      </c>
      <c r="AB101" s="14">
        <f>IFERROR(AA101/X101,"")</f>
        <v/>
      </c>
      <c r="AC101" s="10">
        <f>IF(AA101="","",IF(AA101&gt;0,1,0))</f>
        <v/>
      </c>
      <c r="AD101" s="12">
        <f>AD100+IF(AA101="",0,AA101)</f>
        <v/>
      </c>
      <c r="AE101" s="12">
        <f>MAX(AE100,AD101)</f>
        <v/>
      </c>
      <c r="AF101" s="12">
        <f>AE101-AD101</f>
        <v/>
      </c>
      <c r="AG101" s="10" t="n"/>
    </row>
    <row r="102">
      <c r="A102" s="10">
        <f>ROW()-2</f>
        <v/>
      </c>
      <c r="B102" s="10" t="n"/>
      <c r="C102" s="10" t="n"/>
      <c r="D102" s="10" t="n"/>
      <c r="E102" s="10" t="n"/>
      <c r="F102" s="10" t="n"/>
      <c r="G102" s="10" t="n"/>
      <c r="H102" s="10" t="n"/>
      <c r="I102" s="13">
        <f>IFERROR(ABS(H102-G102),"")</f>
        <v/>
      </c>
      <c r="J102" s="10" t="n"/>
      <c r="K102" s="10" t="n"/>
      <c r="L102" s="10">
        <f>IF(K102="","",IF(K102&gt;=Dashboard!$B$11,"A+","B-"))</f>
        <v/>
      </c>
      <c r="M102" s="10" t="n"/>
      <c r="N102" s="10" t="n"/>
      <c r="O102" s="10">
        <f>IF(OR(N102="",F102=""),"",IF(OR(AND(F102="Up",N102="Long"),AND(F102="Down",N102="Short")),"OK","CHECK"))</f>
        <v/>
      </c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2">
        <f>IFERROR(ABS(Q102-R102)/Dashboard!$B$9*Dashboard!$B$10*W102,"")</f>
        <v/>
      </c>
      <c r="Y102" s="13">
        <f>IFERROR(IF(N102="Long",U102-Q102,IF(N102="Short",Q102-U102,"")),"")</f>
        <v/>
      </c>
      <c r="Z102" s="13">
        <f>IFERROR(Y102/Dashboard!$B$9,"")</f>
        <v/>
      </c>
      <c r="AA102" s="12">
        <f>IFERROR(Z102*Dashboard!$B$10*W102,"")</f>
        <v/>
      </c>
      <c r="AB102" s="14">
        <f>IFERROR(AA102/X102,"")</f>
        <v/>
      </c>
      <c r="AC102" s="10">
        <f>IF(AA102="","",IF(AA102&gt;0,1,0))</f>
        <v/>
      </c>
      <c r="AD102" s="12">
        <f>AD101+IF(AA102="",0,AA102)</f>
        <v/>
      </c>
      <c r="AE102" s="12">
        <f>MAX(AE101,AD102)</f>
        <v/>
      </c>
      <c r="AF102" s="12">
        <f>AE102-AD102</f>
        <v/>
      </c>
      <c r="AG102" s="10" t="n"/>
    </row>
    <row r="103">
      <c r="A103" s="10">
        <f>ROW()-2</f>
        <v/>
      </c>
      <c r="B103" s="10" t="n"/>
      <c r="C103" s="10" t="n"/>
      <c r="D103" s="10" t="n"/>
      <c r="E103" s="10" t="n"/>
      <c r="F103" s="10" t="n"/>
      <c r="G103" s="10" t="n"/>
      <c r="H103" s="10" t="n"/>
      <c r="I103" s="13">
        <f>IFERROR(ABS(H103-G103),"")</f>
        <v/>
      </c>
      <c r="J103" s="10" t="n"/>
      <c r="K103" s="10" t="n"/>
      <c r="L103" s="10">
        <f>IF(K103="","",IF(K103&gt;=Dashboard!$B$11,"A+","B-"))</f>
        <v/>
      </c>
      <c r="M103" s="10" t="n"/>
      <c r="N103" s="10" t="n"/>
      <c r="O103" s="10">
        <f>IF(OR(N103="",F103=""),"",IF(OR(AND(F103="Up",N103="Long"),AND(F103="Down",N103="Short")),"OK","CHECK"))</f>
        <v/>
      </c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2">
        <f>IFERROR(ABS(Q103-R103)/Dashboard!$B$9*Dashboard!$B$10*W103,"")</f>
        <v/>
      </c>
      <c r="Y103" s="13">
        <f>IFERROR(IF(N103="Long",U103-Q103,IF(N103="Short",Q103-U103,"")),"")</f>
        <v/>
      </c>
      <c r="Z103" s="13">
        <f>IFERROR(Y103/Dashboard!$B$9,"")</f>
        <v/>
      </c>
      <c r="AA103" s="12">
        <f>IFERROR(Z103*Dashboard!$B$10*W103,"")</f>
        <v/>
      </c>
      <c r="AB103" s="14">
        <f>IFERROR(AA103/X103,"")</f>
        <v/>
      </c>
      <c r="AC103" s="10">
        <f>IF(AA103="","",IF(AA103&gt;0,1,0))</f>
        <v/>
      </c>
      <c r="AD103" s="12">
        <f>AD102+IF(AA103="",0,AA103)</f>
        <v/>
      </c>
      <c r="AE103" s="12">
        <f>MAX(AE102,AD103)</f>
        <v/>
      </c>
      <c r="AF103" s="12">
        <f>AE103-AD103</f>
        <v/>
      </c>
      <c r="AG103" s="10" t="n"/>
    </row>
    <row r="104">
      <c r="A104" s="10">
        <f>ROW()-2</f>
        <v/>
      </c>
      <c r="B104" s="10" t="n"/>
      <c r="C104" s="10" t="n"/>
      <c r="D104" s="10" t="n"/>
      <c r="E104" s="10" t="n"/>
      <c r="F104" s="10" t="n"/>
      <c r="G104" s="10" t="n"/>
      <c r="H104" s="10" t="n"/>
      <c r="I104" s="13">
        <f>IFERROR(ABS(H104-G104),"")</f>
        <v/>
      </c>
      <c r="J104" s="10" t="n"/>
      <c r="K104" s="10" t="n"/>
      <c r="L104" s="10">
        <f>IF(K104="","",IF(K104&gt;=Dashboard!$B$11,"A+","B-"))</f>
        <v/>
      </c>
      <c r="M104" s="10" t="n"/>
      <c r="N104" s="10" t="n"/>
      <c r="O104" s="10">
        <f>IF(OR(N104="",F104=""),"",IF(OR(AND(F104="Up",N104="Long"),AND(F104="Down",N104="Short")),"OK","CHECK"))</f>
        <v/>
      </c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2">
        <f>IFERROR(ABS(Q104-R104)/Dashboard!$B$9*Dashboard!$B$10*W104,"")</f>
        <v/>
      </c>
      <c r="Y104" s="13">
        <f>IFERROR(IF(N104="Long",U104-Q104,IF(N104="Short",Q104-U104,"")),"")</f>
        <v/>
      </c>
      <c r="Z104" s="13">
        <f>IFERROR(Y104/Dashboard!$B$9,"")</f>
        <v/>
      </c>
      <c r="AA104" s="12">
        <f>IFERROR(Z104*Dashboard!$B$10*W104,"")</f>
        <v/>
      </c>
      <c r="AB104" s="14">
        <f>IFERROR(AA104/X104,"")</f>
        <v/>
      </c>
      <c r="AC104" s="10">
        <f>IF(AA104="","",IF(AA104&gt;0,1,0))</f>
        <v/>
      </c>
      <c r="AD104" s="12">
        <f>AD103+IF(AA104="",0,AA104)</f>
        <v/>
      </c>
      <c r="AE104" s="12">
        <f>MAX(AE103,AD104)</f>
        <v/>
      </c>
      <c r="AF104" s="12">
        <f>AE104-AD104</f>
        <v/>
      </c>
      <c r="AG104" s="10" t="n"/>
    </row>
    <row r="105">
      <c r="A105" s="10">
        <f>ROW()-2</f>
        <v/>
      </c>
      <c r="B105" s="10" t="n"/>
      <c r="C105" s="10" t="n"/>
      <c r="D105" s="10" t="n"/>
      <c r="E105" s="10" t="n"/>
      <c r="F105" s="10" t="n"/>
      <c r="G105" s="10" t="n"/>
      <c r="H105" s="10" t="n"/>
      <c r="I105" s="13">
        <f>IFERROR(ABS(H105-G105),"")</f>
        <v/>
      </c>
      <c r="J105" s="10" t="n"/>
      <c r="K105" s="10" t="n"/>
      <c r="L105" s="10">
        <f>IF(K105="","",IF(K105&gt;=Dashboard!$B$11,"A+","B-"))</f>
        <v/>
      </c>
      <c r="M105" s="10" t="n"/>
      <c r="N105" s="10" t="n"/>
      <c r="O105" s="10">
        <f>IF(OR(N105="",F105=""),"",IF(OR(AND(F105="Up",N105="Long"),AND(F105="Down",N105="Short")),"OK","CHECK"))</f>
        <v/>
      </c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2">
        <f>IFERROR(ABS(Q105-R105)/Dashboard!$B$9*Dashboard!$B$10*W105,"")</f>
        <v/>
      </c>
      <c r="Y105" s="13">
        <f>IFERROR(IF(N105="Long",U105-Q105,IF(N105="Short",Q105-U105,"")),"")</f>
        <v/>
      </c>
      <c r="Z105" s="13">
        <f>IFERROR(Y105/Dashboard!$B$9,"")</f>
        <v/>
      </c>
      <c r="AA105" s="12">
        <f>IFERROR(Z105*Dashboard!$B$10*W105,"")</f>
        <v/>
      </c>
      <c r="AB105" s="14">
        <f>IFERROR(AA105/X105,"")</f>
        <v/>
      </c>
      <c r="AC105" s="10">
        <f>IF(AA105="","",IF(AA105&gt;0,1,0))</f>
        <v/>
      </c>
      <c r="AD105" s="12">
        <f>AD104+IF(AA105="",0,AA105)</f>
        <v/>
      </c>
      <c r="AE105" s="12">
        <f>MAX(AE104,AD105)</f>
        <v/>
      </c>
      <c r="AF105" s="12">
        <f>AE105-AD105</f>
        <v/>
      </c>
      <c r="AG105" s="10" t="n"/>
    </row>
    <row r="106">
      <c r="A106" s="10">
        <f>ROW()-2</f>
        <v/>
      </c>
      <c r="B106" s="10" t="n"/>
      <c r="C106" s="10" t="n"/>
      <c r="D106" s="10" t="n"/>
      <c r="E106" s="10" t="n"/>
      <c r="F106" s="10" t="n"/>
      <c r="G106" s="10" t="n"/>
      <c r="H106" s="10" t="n"/>
      <c r="I106" s="13">
        <f>IFERROR(ABS(H106-G106),"")</f>
        <v/>
      </c>
      <c r="J106" s="10" t="n"/>
      <c r="K106" s="10" t="n"/>
      <c r="L106" s="10">
        <f>IF(K106="","",IF(K106&gt;=Dashboard!$B$11,"A+","B-"))</f>
        <v/>
      </c>
      <c r="M106" s="10" t="n"/>
      <c r="N106" s="10" t="n"/>
      <c r="O106" s="10">
        <f>IF(OR(N106="",F106=""),"",IF(OR(AND(F106="Up",N106="Long"),AND(F106="Down",N106="Short")),"OK","CHECK"))</f>
        <v/>
      </c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2">
        <f>IFERROR(ABS(Q106-R106)/Dashboard!$B$9*Dashboard!$B$10*W106,"")</f>
        <v/>
      </c>
      <c r="Y106" s="13">
        <f>IFERROR(IF(N106="Long",U106-Q106,IF(N106="Short",Q106-U106,"")),"")</f>
        <v/>
      </c>
      <c r="Z106" s="13">
        <f>IFERROR(Y106/Dashboard!$B$9,"")</f>
        <v/>
      </c>
      <c r="AA106" s="12">
        <f>IFERROR(Z106*Dashboard!$B$10*W106,"")</f>
        <v/>
      </c>
      <c r="AB106" s="14">
        <f>IFERROR(AA106/X106,"")</f>
        <v/>
      </c>
      <c r="AC106" s="10">
        <f>IF(AA106="","",IF(AA106&gt;0,1,0))</f>
        <v/>
      </c>
      <c r="AD106" s="12">
        <f>AD105+IF(AA106="",0,AA106)</f>
        <v/>
      </c>
      <c r="AE106" s="12">
        <f>MAX(AE105,AD106)</f>
        <v/>
      </c>
      <c r="AF106" s="12">
        <f>AE106-AD106</f>
        <v/>
      </c>
      <c r="AG106" s="10" t="n"/>
    </row>
    <row r="107">
      <c r="A107" s="10">
        <f>ROW()-2</f>
        <v/>
      </c>
      <c r="B107" s="10" t="n"/>
      <c r="C107" s="10" t="n"/>
      <c r="D107" s="10" t="n"/>
      <c r="E107" s="10" t="n"/>
      <c r="F107" s="10" t="n"/>
      <c r="G107" s="10" t="n"/>
      <c r="H107" s="10" t="n"/>
      <c r="I107" s="13">
        <f>IFERROR(ABS(H107-G107),"")</f>
        <v/>
      </c>
      <c r="J107" s="10" t="n"/>
      <c r="K107" s="10" t="n"/>
      <c r="L107" s="10">
        <f>IF(K107="","",IF(K107&gt;=Dashboard!$B$11,"A+","B-"))</f>
        <v/>
      </c>
      <c r="M107" s="10" t="n"/>
      <c r="N107" s="10" t="n"/>
      <c r="O107" s="10">
        <f>IF(OR(N107="",F107=""),"",IF(OR(AND(F107="Up",N107="Long"),AND(F107="Down",N107="Short")),"OK","CHECK"))</f>
        <v/>
      </c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2">
        <f>IFERROR(ABS(Q107-R107)/Dashboard!$B$9*Dashboard!$B$10*W107,"")</f>
        <v/>
      </c>
      <c r="Y107" s="13">
        <f>IFERROR(IF(N107="Long",U107-Q107,IF(N107="Short",Q107-U107,"")),"")</f>
        <v/>
      </c>
      <c r="Z107" s="13">
        <f>IFERROR(Y107/Dashboard!$B$9,"")</f>
        <v/>
      </c>
      <c r="AA107" s="12">
        <f>IFERROR(Z107*Dashboard!$B$10*W107,"")</f>
        <v/>
      </c>
      <c r="AB107" s="14">
        <f>IFERROR(AA107/X107,"")</f>
        <v/>
      </c>
      <c r="AC107" s="10">
        <f>IF(AA107="","",IF(AA107&gt;0,1,0))</f>
        <v/>
      </c>
      <c r="AD107" s="12">
        <f>AD106+IF(AA107="",0,AA107)</f>
        <v/>
      </c>
      <c r="AE107" s="12">
        <f>MAX(AE106,AD107)</f>
        <v/>
      </c>
      <c r="AF107" s="12">
        <f>AE107-AD107</f>
        <v/>
      </c>
      <c r="AG107" s="10" t="n"/>
    </row>
    <row r="108">
      <c r="A108" s="10">
        <f>ROW()-2</f>
        <v/>
      </c>
      <c r="B108" s="10" t="n"/>
      <c r="C108" s="10" t="n"/>
      <c r="D108" s="10" t="n"/>
      <c r="E108" s="10" t="n"/>
      <c r="F108" s="10" t="n"/>
      <c r="G108" s="10" t="n"/>
      <c r="H108" s="10" t="n"/>
      <c r="I108" s="13">
        <f>IFERROR(ABS(H108-G108),"")</f>
        <v/>
      </c>
      <c r="J108" s="10" t="n"/>
      <c r="K108" s="10" t="n"/>
      <c r="L108" s="10">
        <f>IF(K108="","",IF(K108&gt;=Dashboard!$B$11,"A+","B-"))</f>
        <v/>
      </c>
      <c r="M108" s="10" t="n"/>
      <c r="N108" s="10" t="n"/>
      <c r="O108" s="10">
        <f>IF(OR(N108="",F108=""),"",IF(OR(AND(F108="Up",N108="Long"),AND(F108="Down",N108="Short")),"OK","CHECK"))</f>
        <v/>
      </c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2">
        <f>IFERROR(ABS(Q108-R108)/Dashboard!$B$9*Dashboard!$B$10*W108,"")</f>
        <v/>
      </c>
      <c r="Y108" s="13">
        <f>IFERROR(IF(N108="Long",U108-Q108,IF(N108="Short",Q108-U108,"")),"")</f>
        <v/>
      </c>
      <c r="Z108" s="13">
        <f>IFERROR(Y108/Dashboard!$B$9,"")</f>
        <v/>
      </c>
      <c r="AA108" s="12">
        <f>IFERROR(Z108*Dashboard!$B$10*W108,"")</f>
        <v/>
      </c>
      <c r="AB108" s="14">
        <f>IFERROR(AA108/X108,"")</f>
        <v/>
      </c>
      <c r="AC108" s="10">
        <f>IF(AA108="","",IF(AA108&gt;0,1,0))</f>
        <v/>
      </c>
      <c r="AD108" s="12">
        <f>AD107+IF(AA108="",0,AA108)</f>
        <v/>
      </c>
      <c r="AE108" s="12">
        <f>MAX(AE107,AD108)</f>
        <v/>
      </c>
      <c r="AF108" s="12">
        <f>AE108-AD108</f>
        <v/>
      </c>
      <c r="AG108" s="10" t="n"/>
    </row>
    <row r="109">
      <c r="A109" s="10">
        <f>ROW()-2</f>
        <v/>
      </c>
      <c r="B109" s="10" t="n"/>
      <c r="C109" s="10" t="n"/>
      <c r="D109" s="10" t="n"/>
      <c r="E109" s="10" t="n"/>
      <c r="F109" s="10" t="n"/>
      <c r="G109" s="10" t="n"/>
      <c r="H109" s="10" t="n"/>
      <c r="I109" s="13">
        <f>IFERROR(ABS(H109-G109),"")</f>
        <v/>
      </c>
      <c r="J109" s="10" t="n"/>
      <c r="K109" s="10" t="n"/>
      <c r="L109" s="10">
        <f>IF(K109="","",IF(K109&gt;=Dashboard!$B$11,"A+","B-"))</f>
        <v/>
      </c>
      <c r="M109" s="10" t="n"/>
      <c r="N109" s="10" t="n"/>
      <c r="O109" s="10">
        <f>IF(OR(N109="",F109=""),"",IF(OR(AND(F109="Up",N109="Long"),AND(F109="Down",N109="Short")),"OK","CHECK"))</f>
        <v/>
      </c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2">
        <f>IFERROR(ABS(Q109-R109)/Dashboard!$B$9*Dashboard!$B$10*W109,"")</f>
        <v/>
      </c>
      <c r="Y109" s="13">
        <f>IFERROR(IF(N109="Long",U109-Q109,IF(N109="Short",Q109-U109,"")),"")</f>
        <v/>
      </c>
      <c r="Z109" s="13">
        <f>IFERROR(Y109/Dashboard!$B$9,"")</f>
        <v/>
      </c>
      <c r="AA109" s="12">
        <f>IFERROR(Z109*Dashboard!$B$10*W109,"")</f>
        <v/>
      </c>
      <c r="AB109" s="14">
        <f>IFERROR(AA109/X109,"")</f>
        <v/>
      </c>
      <c r="AC109" s="10">
        <f>IF(AA109="","",IF(AA109&gt;0,1,0))</f>
        <v/>
      </c>
      <c r="AD109" s="12">
        <f>AD108+IF(AA109="",0,AA109)</f>
        <v/>
      </c>
      <c r="AE109" s="12">
        <f>MAX(AE108,AD109)</f>
        <v/>
      </c>
      <c r="AF109" s="12">
        <f>AE109-AD109</f>
        <v/>
      </c>
      <c r="AG109" s="10" t="n"/>
    </row>
    <row r="110">
      <c r="A110" s="10">
        <f>ROW()-2</f>
        <v/>
      </c>
      <c r="B110" s="10" t="n"/>
      <c r="C110" s="10" t="n"/>
      <c r="D110" s="10" t="n"/>
      <c r="E110" s="10" t="n"/>
      <c r="F110" s="10" t="n"/>
      <c r="G110" s="10" t="n"/>
      <c r="H110" s="10" t="n"/>
      <c r="I110" s="13">
        <f>IFERROR(ABS(H110-G110),"")</f>
        <v/>
      </c>
      <c r="J110" s="10" t="n"/>
      <c r="K110" s="10" t="n"/>
      <c r="L110" s="10">
        <f>IF(K110="","",IF(K110&gt;=Dashboard!$B$11,"A+","B-"))</f>
        <v/>
      </c>
      <c r="M110" s="10" t="n"/>
      <c r="N110" s="10" t="n"/>
      <c r="O110" s="10">
        <f>IF(OR(N110="",F110=""),"",IF(OR(AND(F110="Up",N110="Long"),AND(F110="Down",N110="Short")),"OK","CHECK"))</f>
        <v/>
      </c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2">
        <f>IFERROR(ABS(Q110-R110)/Dashboard!$B$9*Dashboard!$B$10*W110,"")</f>
        <v/>
      </c>
      <c r="Y110" s="13">
        <f>IFERROR(IF(N110="Long",U110-Q110,IF(N110="Short",Q110-U110,"")),"")</f>
        <v/>
      </c>
      <c r="Z110" s="13">
        <f>IFERROR(Y110/Dashboard!$B$9,"")</f>
        <v/>
      </c>
      <c r="AA110" s="12">
        <f>IFERROR(Z110*Dashboard!$B$10*W110,"")</f>
        <v/>
      </c>
      <c r="AB110" s="14">
        <f>IFERROR(AA110/X110,"")</f>
        <v/>
      </c>
      <c r="AC110" s="10">
        <f>IF(AA110="","",IF(AA110&gt;0,1,0))</f>
        <v/>
      </c>
      <c r="AD110" s="12">
        <f>AD109+IF(AA110="",0,AA110)</f>
        <v/>
      </c>
      <c r="AE110" s="12">
        <f>MAX(AE109,AD110)</f>
        <v/>
      </c>
      <c r="AF110" s="12">
        <f>AE110-AD110</f>
        <v/>
      </c>
      <c r="AG110" s="10" t="n"/>
    </row>
    <row r="111">
      <c r="A111" s="10">
        <f>ROW()-2</f>
        <v/>
      </c>
      <c r="B111" s="10" t="n"/>
      <c r="C111" s="10" t="n"/>
      <c r="D111" s="10" t="n"/>
      <c r="E111" s="10" t="n"/>
      <c r="F111" s="10" t="n"/>
      <c r="G111" s="10" t="n"/>
      <c r="H111" s="10" t="n"/>
      <c r="I111" s="13">
        <f>IFERROR(ABS(H111-G111),"")</f>
        <v/>
      </c>
      <c r="J111" s="10" t="n"/>
      <c r="K111" s="10" t="n"/>
      <c r="L111" s="10">
        <f>IF(K111="","",IF(K111&gt;=Dashboard!$B$11,"A+","B-"))</f>
        <v/>
      </c>
      <c r="M111" s="10" t="n"/>
      <c r="N111" s="10" t="n"/>
      <c r="O111" s="10">
        <f>IF(OR(N111="",F111=""),"",IF(OR(AND(F111="Up",N111="Long"),AND(F111="Down",N111="Short")),"OK","CHECK"))</f>
        <v/>
      </c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2">
        <f>IFERROR(ABS(Q111-R111)/Dashboard!$B$9*Dashboard!$B$10*W111,"")</f>
        <v/>
      </c>
      <c r="Y111" s="13">
        <f>IFERROR(IF(N111="Long",U111-Q111,IF(N111="Short",Q111-U111,"")),"")</f>
        <v/>
      </c>
      <c r="Z111" s="13">
        <f>IFERROR(Y111/Dashboard!$B$9,"")</f>
        <v/>
      </c>
      <c r="AA111" s="12">
        <f>IFERROR(Z111*Dashboard!$B$10*W111,"")</f>
        <v/>
      </c>
      <c r="AB111" s="14">
        <f>IFERROR(AA111/X111,"")</f>
        <v/>
      </c>
      <c r="AC111" s="10">
        <f>IF(AA111="","",IF(AA111&gt;0,1,0))</f>
        <v/>
      </c>
      <c r="AD111" s="12">
        <f>AD110+IF(AA111="",0,AA111)</f>
        <v/>
      </c>
      <c r="AE111" s="12">
        <f>MAX(AE110,AD111)</f>
        <v/>
      </c>
      <c r="AF111" s="12">
        <f>AE111-AD111</f>
        <v/>
      </c>
      <c r="AG111" s="10" t="n"/>
    </row>
    <row r="112">
      <c r="A112" s="10">
        <f>ROW()-2</f>
        <v/>
      </c>
      <c r="B112" s="10" t="n"/>
      <c r="C112" s="10" t="n"/>
      <c r="D112" s="10" t="n"/>
      <c r="E112" s="10" t="n"/>
      <c r="F112" s="10" t="n"/>
      <c r="G112" s="10" t="n"/>
      <c r="H112" s="10" t="n"/>
      <c r="I112" s="13">
        <f>IFERROR(ABS(H112-G112),"")</f>
        <v/>
      </c>
      <c r="J112" s="10" t="n"/>
      <c r="K112" s="10" t="n"/>
      <c r="L112" s="10">
        <f>IF(K112="","",IF(K112&gt;=Dashboard!$B$11,"A+","B-"))</f>
        <v/>
      </c>
      <c r="M112" s="10" t="n"/>
      <c r="N112" s="10" t="n"/>
      <c r="O112" s="10">
        <f>IF(OR(N112="",F112=""),"",IF(OR(AND(F112="Up",N112="Long"),AND(F112="Down",N112="Short")),"OK","CHECK"))</f>
        <v/>
      </c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2">
        <f>IFERROR(ABS(Q112-R112)/Dashboard!$B$9*Dashboard!$B$10*W112,"")</f>
        <v/>
      </c>
      <c r="Y112" s="13">
        <f>IFERROR(IF(N112="Long",U112-Q112,IF(N112="Short",Q112-U112,"")),"")</f>
        <v/>
      </c>
      <c r="Z112" s="13">
        <f>IFERROR(Y112/Dashboard!$B$9,"")</f>
        <v/>
      </c>
      <c r="AA112" s="12">
        <f>IFERROR(Z112*Dashboard!$B$10*W112,"")</f>
        <v/>
      </c>
      <c r="AB112" s="14">
        <f>IFERROR(AA112/X112,"")</f>
        <v/>
      </c>
      <c r="AC112" s="10">
        <f>IF(AA112="","",IF(AA112&gt;0,1,0))</f>
        <v/>
      </c>
      <c r="AD112" s="12">
        <f>AD111+IF(AA112="",0,AA112)</f>
        <v/>
      </c>
      <c r="AE112" s="12">
        <f>MAX(AE111,AD112)</f>
        <v/>
      </c>
      <c r="AF112" s="12">
        <f>AE112-AD112</f>
        <v/>
      </c>
      <c r="AG112" s="10" t="n"/>
    </row>
    <row r="113">
      <c r="A113" s="10">
        <f>ROW()-2</f>
        <v/>
      </c>
      <c r="B113" s="10" t="n"/>
      <c r="C113" s="10" t="n"/>
      <c r="D113" s="10" t="n"/>
      <c r="E113" s="10" t="n"/>
      <c r="F113" s="10" t="n"/>
      <c r="G113" s="10" t="n"/>
      <c r="H113" s="10" t="n"/>
      <c r="I113" s="13">
        <f>IFERROR(ABS(H113-G113),"")</f>
        <v/>
      </c>
      <c r="J113" s="10" t="n"/>
      <c r="K113" s="10" t="n"/>
      <c r="L113" s="10">
        <f>IF(K113="","",IF(K113&gt;=Dashboard!$B$11,"A+","B-"))</f>
        <v/>
      </c>
      <c r="M113" s="10" t="n"/>
      <c r="N113" s="10" t="n"/>
      <c r="O113" s="10">
        <f>IF(OR(N113="",F113=""),"",IF(OR(AND(F113="Up",N113="Long"),AND(F113="Down",N113="Short")),"OK","CHECK"))</f>
        <v/>
      </c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2">
        <f>IFERROR(ABS(Q113-R113)/Dashboard!$B$9*Dashboard!$B$10*W113,"")</f>
        <v/>
      </c>
      <c r="Y113" s="13">
        <f>IFERROR(IF(N113="Long",U113-Q113,IF(N113="Short",Q113-U113,"")),"")</f>
        <v/>
      </c>
      <c r="Z113" s="13">
        <f>IFERROR(Y113/Dashboard!$B$9,"")</f>
        <v/>
      </c>
      <c r="AA113" s="12">
        <f>IFERROR(Z113*Dashboard!$B$10*W113,"")</f>
        <v/>
      </c>
      <c r="AB113" s="14">
        <f>IFERROR(AA113/X113,"")</f>
        <v/>
      </c>
      <c r="AC113" s="10">
        <f>IF(AA113="","",IF(AA113&gt;0,1,0))</f>
        <v/>
      </c>
      <c r="AD113" s="12">
        <f>AD112+IF(AA113="",0,AA113)</f>
        <v/>
      </c>
      <c r="AE113" s="12">
        <f>MAX(AE112,AD113)</f>
        <v/>
      </c>
      <c r="AF113" s="12">
        <f>AE113-AD113</f>
        <v/>
      </c>
      <c r="AG113" s="10" t="n"/>
    </row>
    <row r="114">
      <c r="A114" s="10">
        <f>ROW()-2</f>
        <v/>
      </c>
      <c r="B114" s="10" t="n"/>
      <c r="C114" s="10" t="n"/>
      <c r="D114" s="10" t="n"/>
      <c r="E114" s="10" t="n"/>
      <c r="F114" s="10" t="n"/>
      <c r="G114" s="10" t="n"/>
      <c r="H114" s="10" t="n"/>
      <c r="I114" s="13">
        <f>IFERROR(ABS(H114-G114),"")</f>
        <v/>
      </c>
      <c r="J114" s="10" t="n"/>
      <c r="K114" s="10" t="n"/>
      <c r="L114" s="10">
        <f>IF(K114="","",IF(K114&gt;=Dashboard!$B$11,"A+","B-"))</f>
        <v/>
      </c>
      <c r="M114" s="10" t="n"/>
      <c r="N114" s="10" t="n"/>
      <c r="O114" s="10">
        <f>IF(OR(N114="",F114=""),"",IF(OR(AND(F114="Up",N114="Long"),AND(F114="Down",N114="Short")),"OK","CHECK"))</f>
        <v/>
      </c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2">
        <f>IFERROR(ABS(Q114-R114)/Dashboard!$B$9*Dashboard!$B$10*W114,"")</f>
        <v/>
      </c>
      <c r="Y114" s="13">
        <f>IFERROR(IF(N114="Long",U114-Q114,IF(N114="Short",Q114-U114,"")),"")</f>
        <v/>
      </c>
      <c r="Z114" s="13">
        <f>IFERROR(Y114/Dashboard!$B$9,"")</f>
        <v/>
      </c>
      <c r="AA114" s="12">
        <f>IFERROR(Z114*Dashboard!$B$10*W114,"")</f>
        <v/>
      </c>
      <c r="AB114" s="14">
        <f>IFERROR(AA114/X114,"")</f>
        <v/>
      </c>
      <c r="AC114" s="10">
        <f>IF(AA114="","",IF(AA114&gt;0,1,0))</f>
        <v/>
      </c>
      <c r="AD114" s="12">
        <f>AD113+IF(AA114="",0,AA114)</f>
        <v/>
      </c>
      <c r="AE114" s="12">
        <f>MAX(AE113,AD114)</f>
        <v/>
      </c>
      <c r="AF114" s="12">
        <f>AE114-AD114</f>
        <v/>
      </c>
      <c r="AG114" s="10" t="n"/>
    </row>
    <row r="115">
      <c r="A115" s="10">
        <f>ROW()-2</f>
        <v/>
      </c>
      <c r="B115" s="10" t="n"/>
      <c r="C115" s="10" t="n"/>
      <c r="D115" s="10" t="n"/>
      <c r="E115" s="10" t="n"/>
      <c r="F115" s="10" t="n"/>
      <c r="G115" s="10" t="n"/>
      <c r="H115" s="10" t="n"/>
      <c r="I115" s="13">
        <f>IFERROR(ABS(H115-G115),"")</f>
        <v/>
      </c>
      <c r="J115" s="10" t="n"/>
      <c r="K115" s="10" t="n"/>
      <c r="L115" s="10">
        <f>IF(K115="","",IF(K115&gt;=Dashboard!$B$11,"A+","B-"))</f>
        <v/>
      </c>
      <c r="M115" s="10" t="n"/>
      <c r="N115" s="10" t="n"/>
      <c r="O115" s="10">
        <f>IF(OR(N115="",F115=""),"",IF(OR(AND(F115="Up",N115="Long"),AND(F115="Down",N115="Short")),"OK","CHECK"))</f>
        <v/>
      </c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2">
        <f>IFERROR(ABS(Q115-R115)/Dashboard!$B$9*Dashboard!$B$10*W115,"")</f>
        <v/>
      </c>
      <c r="Y115" s="13">
        <f>IFERROR(IF(N115="Long",U115-Q115,IF(N115="Short",Q115-U115,"")),"")</f>
        <v/>
      </c>
      <c r="Z115" s="13">
        <f>IFERROR(Y115/Dashboard!$B$9,"")</f>
        <v/>
      </c>
      <c r="AA115" s="12">
        <f>IFERROR(Z115*Dashboard!$B$10*W115,"")</f>
        <v/>
      </c>
      <c r="AB115" s="14">
        <f>IFERROR(AA115/X115,"")</f>
        <v/>
      </c>
      <c r="AC115" s="10">
        <f>IF(AA115="","",IF(AA115&gt;0,1,0))</f>
        <v/>
      </c>
      <c r="AD115" s="12">
        <f>AD114+IF(AA115="",0,AA115)</f>
        <v/>
      </c>
      <c r="AE115" s="12">
        <f>MAX(AE114,AD115)</f>
        <v/>
      </c>
      <c r="AF115" s="12">
        <f>AE115-AD115</f>
        <v/>
      </c>
      <c r="AG115" s="10" t="n"/>
    </row>
    <row r="116">
      <c r="A116" s="10">
        <f>ROW()-2</f>
        <v/>
      </c>
      <c r="B116" s="10" t="n"/>
      <c r="C116" s="10" t="n"/>
      <c r="D116" s="10" t="n"/>
      <c r="E116" s="10" t="n"/>
      <c r="F116" s="10" t="n"/>
      <c r="G116" s="10" t="n"/>
      <c r="H116" s="10" t="n"/>
      <c r="I116" s="13">
        <f>IFERROR(ABS(H116-G116),"")</f>
        <v/>
      </c>
      <c r="J116" s="10" t="n"/>
      <c r="K116" s="10" t="n"/>
      <c r="L116" s="10">
        <f>IF(K116="","",IF(K116&gt;=Dashboard!$B$11,"A+","B-"))</f>
        <v/>
      </c>
      <c r="M116" s="10" t="n"/>
      <c r="N116" s="10" t="n"/>
      <c r="O116" s="10">
        <f>IF(OR(N116="",F116=""),"",IF(OR(AND(F116="Up",N116="Long"),AND(F116="Down",N116="Short")),"OK","CHECK"))</f>
        <v/>
      </c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2">
        <f>IFERROR(ABS(Q116-R116)/Dashboard!$B$9*Dashboard!$B$10*W116,"")</f>
        <v/>
      </c>
      <c r="Y116" s="13">
        <f>IFERROR(IF(N116="Long",U116-Q116,IF(N116="Short",Q116-U116,"")),"")</f>
        <v/>
      </c>
      <c r="Z116" s="13">
        <f>IFERROR(Y116/Dashboard!$B$9,"")</f>
        <v/>
      </c>
      <c r="AA116" s="12">
        <f>IFERROR(Z116*Dashboard!$B$10*W116,"")</f>
        <v/>
      </c>
      <c r="AB116" s="14">
        <f>IFERROR(AA116/X116,"")</f>
        <v/>
      </c>
      <c r="AC116" s="10">
        <f>IF(AA116="","",IF(AA116&gt;0,1,0))</f>
        <v/>
      </c>
      <c r="AD116" s="12">
        <f>AD115+IF(AA116="",0,AA116)</f>
        <v/>
      </c>
      <c r="AE116" s="12">
        <f>MAX(AE115,AD116)</f>
        <v/>
      </c>
      <c r="AF116" s="12">
        <f>AE116-AD116</f>
        <v/>
      </c>
      <c r="AG116" s="10" t="n"/>
    </row>
    <row r="117">
      <c r="A117" s="10">
        <f>ROW()-2</f>
        <v/>
      </c>
      <c r="B117" s="10" t="n"/>
      <c r="C117" s="10" t="n"/>
      <c r="D117" s="10" t="n"/>
      <c r="E117" s="10" t="n"/>
      <c r="F117" s="10" t="n"/>
      <c r="G117" s="10" t="n"/>
      <c r="H117" s="10" t="n"/>
      <c r="I117" s="13">
        <f>IFERROR(ABS(H117-G117),"")</f>
        <v/>
      </c>
      <c r="J117" s="10" t="n"/>
      <c r="K117" s="10" t="n"/>
      <c r="L117" s="10">
        <f>IF(K117="","",IF(K117&gt;=Dashboard!$B$11,"A+","B-"))</f>
        <v/>
      </c>
      <c r="M117" s="10" t="n"/>
      <c r="N117" s="10" t="n"/>
      <c r="O117" s="10">
        <f>IF(OR(N117="",F117=""),"",IF(OR(AND(F117="Up",N117="Long"),AND(F117="Down",N117="Short")),"OK","CHECK"))</f>
        <v/>
      </c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2">
        <f>IFERROR(ABS(Q117-R117)/Dashboard!$B$9*Dashboard!$B$10*W117,"")</f>
        <v/>
      </c>
      <c r="Y117" s="13">
        <f>IFERROR(IF(N117="Long",U117-Q117,IF(N117="Short",Q117-U117,"")),"")</f>
        <v/>
      </c>
      <c r="Z117" s="13">
        <f>IFERROR(Y117/Dashboard!$B$9,"")</f>
        <v/>
      </c>
      <c r="AA117" s="12">
        <f>IFERROR(Z117*Dashboard!$B$10*W117,"")</f>
        <v/>
      </c>
      <c r="AB117" s="14">
        <f>IFERROR(AA117/X117,"")</f>
        <v/>
      </c>
      <c r="AC117" s="10">
        <f>IF(AA117="","",IF(AA117&gt;0,1,0))</f>
        <v/>
      </c>
      <c r="AD117" s="12">
        <f>AD116+IF(AA117="",0,AA117)</f>
        <v/>
      </c>
      <c r="AE117" s="12">
        <f>MAX(AE116,AD117)</f>
        <v/>
      </c>
      <c r="AF117" s="12">
        <f>AE117-AD117</f>
        <v/>
      </c>
      <c r="AG117" s="10" t="n"/>
    </row>
    <row r="118">
      <c r="A118" s="10">
        <f>ROW()-2</f>
        <v/>
      </c>
      <c r="B118" s="10" t="n"/>
      <c r="C118" s="10" t="n"/>
      <c r="D118" s="10" t="n"/>
      <c r="E118" s="10" t="n"/>
      <c r="F118" s="10" t="n"/>
      <c r="G118" s="10" t="n"/>
      <c r="H118" s="10" t="n"/>
      <c r="I118" s="13">
        <f>IFERROR(ABS(H118-G118),"")</f>
        <v/>
      </c>
      <c r="J118" s="10" t="n"/>
      <c r="K118" s="10" t="n"/>
      <c r="L118" s="10">
        <f>IF(K118="","",IF(K118&gt;=Dashboard!$B$11,"A+","B-"))</f>
        <v/>
      </c>
      <c r="M118" s="10" t="n"/>
      <c r="N118" s="10" t="n"/>
      <c r="O118" s="10">
        <f>IF(OR(N118="",F118=""),"",IF(OR(AND(F118="Up",N118="Long"),AND(F118="Down",N118="Short")),"OK","CHECK"))</f>
        <v/>
      </c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2">
        <f>IFERROR(ABS(Q118-R118)/Dashboard!$B$9*Dashboard!$B$10*W118,"")</f>
        <v/>
      </c>
      <c r="Y118" s="13">
        <f>IFERROR(IF(N118="Long",U118-Q118,IF(N118="Short",Q118-U118,"")),"")</f>
        <v/>
      </c>
      <c r="Z118" s="13">
        <f>IFERROR(Y118/Dashboard!$B$9,"")</f>
        <v/>
      </c>
      <c r="AA118" s="12">
        <f>IFERROR(Z118*Dashboard!$B$10*W118,"")</f>
        <v/>
      </c>
      <c r="AB118" s="14">
        <f>IFERROR(AA118/X118,"")</f>
        <v/>
      </c>
      <c r="AC118" s="10">
        <f>IF(AA118="","",IF(AA118&gt;0,1,0))</f>
        <v/>
      </c>
      <c r="AD118" s="12">
        <f>AD117+IF(AA118="",0,AA118)</f>
        <v/>
      </c>
      <c r="AE118" s="12">
        <f>MAX(AE117,AD118)</f>
        <v/>
      </c>
      <c r="AF118" s="12">
        <f>AE118-AD118</f>
        <v/>
      </c>
      <c r="AG118" s="10" t="n"/>
    </row>
    <row r="119">
      <c r="A119" s="10">
        <f>ROW()-2</f>
        <v/>
      </c>
      <c r="B119" s="10" t="n"/>
      <c r="C119" s="10" t="n"/>
      <c r="D119" s="10" t="n"/>
      <c r="E119" s="10" t="n"/>
      <c r="F119" s="10" t="n"/>
      <c r="G119" s="10" t="n"/>
      <c r="H119" s="10" t="n"/>
      <c r="I119" s="13">
        <f>IFERROR(ABS(H119-G119),"")</f>
        <v/>
      </c>
      <c r="J119" s="10" t="n"/>
      <c r="K119" s="10" t="n"/>
      <c r="L119" s="10">
        <f>IF(K119="","",IF(K119&gt;=Dashboard!$B$11,"A+","B-"))</f>
        <v/>
      </c>
      <c r="M119" s="10" t="n"/>
      <c r="N119" s="10" t="n"/>
      <c r="O119" s="10">
        <f>IF(OR(N119="",F119=""),"",IF(OR(AND(F119="Up",N119="Long"),AND(F119="Down",N119="Short")),"OK","CHECK"))</f>
        <v/>
      </c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2">
        <f>IFERROR(ABS(Q119-R119)/Dashboard!$B$9*Dashboard!$B$10*W119,"")</f>
        <v/>
      </c>
      <c r="Y119" s="13">
        <f>IFERROR(IF(N119="Long",U119-Q119,IF(N119="Short",Q119-U119,"")),"")</f>
        <v/>
      </c>
      <c r="Z119" s="13">
        <f>IFERROR(Y119/Dashboard!$B$9,"")</f>
        <v/>
      </c>
      <c r="AA119" s="12">
        <f>IFERROR(Z119*Dashboard!$B$10*W119,"")</f>
        <v/>
      </c>
      <c r="AB119" s="14">
        <f>IFERROR(AA119/X119,"")</f>
        <v/>
      </c>
      <c r="AC119" s="10">
        <f>IF(AA119="","",IF(AA119&gt;0,1,0))</f>
        <v/>
      </c>
      <c r="AD119" s="12">
        <f>AD118+IF(AA119="",0,AA119)</f>
        <v/>
      </c>
      <c r="AE119" s="12">
        <f>MAX(AE118,AD119)</f>
        <v/>
      </c>
      <c r="AF119" s="12">
        <f>AE119-AD119</f>
        <v/>
      </c>
      <c r="AG119" s="10" t="n"/>
    </row>
    <row r="120">
      <c r="A120" s="10">
        <f>ROW()-2</f>
        <v/>
      </c>
      <c r="B120" s="10" t="n"/>
      <c r="C120" s="10" t="n"/>
      <c r="D120" s="10" t="n"/>
      <c r="E120" s="10" t="n"/>
      <c r="F120" s="10" t="n"/>
      <c r="G120" s="10" t="n"/>
      <c r="H120" s="10" t="n"/>
      <c r="I120" s="13">
        <f>IFERROR(ABS(H120-G120),"")</f>
        <v/>
      </c>
      <c r="J120" s="10" t="n"/>
      <c r="K120" s="10" t="n"/>
      <c r="L120" s="10">
        <f>IF(K120="","",IF(K120&gt;=Dashboard!$B$11,"A+","B-"))</f>
        <v/>
      </c>
      <c r="M120" s="10" t="n"/>
      <c r="N120" s="10" t="n"/>
      <c r="O120" s="10">
        <f>IF(OR(N120="",F120=""),"",IF(OR(AND(F120="Up",N120="Long"),AND(F120="Down",N120="Short")),"OK","CHECK"))</f>
        <v/>
      </c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2">
        <f>IFERROR(ABS(Q120-R120)/Dashboard!$B$9*Dashboard!$B$10*W120,"")</f>
        <v/>
      </c>
      <c r="Y120" s="13">
        <f>IFERROR(IF(N120="Long",U120-Q120,IF(N120="Short",Q120-U120,"")),"")</f>
        <v/>
      </c>
      <c r="Z120" s="13">
        <f>IFERROR(Y120/Dashboard!$B$9,"")</f>
        <v/>
      </c>
      <c r="AA120" s="12">
        <f>IFERROR(Z120*Dashboard!$B$10*W120,"")</f>
        <v/>
      </c>
      <c r="AB120" s="14">
        <f>IFERROR(AA120/X120,"")</f>
        <v/>
      </c>
      <c r="AC120" s="10">
        <f>IF(AA120="","",IF(AA120&gt;0,1,0))</f>
        <v/>
      </c>
      <c r="AD120" s="12">
        <f>AD119+IF(AA120="",0,AA120)</f>
        <v/>
      </c>
      <c r="AE120" s="12">
        <f>MAX(AE119,AD120)</f>
        <v/>
      </c>
      <c r="AF120" s="12">
        <f>AE120-AD120</f>
        <v/>
      </c>
      <c r="AG120" s="10" t="n"/>
    </row>
    <row r="121">
      <c r="A121" s="10">
        <f>ROW()-2</f>
        <v/>
      </c>
      <c r="B121" s="10" t="n"/>
      <c r="C121" s="10" t="n"/>
      <c r="D121" s="10" t="n"/>
      <c r="E121" s="10" t="n"/>
      <c r="F121" s="10" t="n"/>
      <c r="G121" s="10" t="n"/>
      <c r="H121" s="10" t="n"/>
      <c r="I121" s="13">
        <f>IFERROR(ABS(H121-G121),"")</f>
        <v/>
      </c>
      <c r="J121" s="10" t="n"/>
      <c r="K121" s="10" t="n"/>
      <c r="L121" s="10">
        <f>IF(K121="","",IF(K121&gt;=Dashboard!$B$11,"A+","B-"))</f>
        <v/>
      </c>
      <c r="M121" s="10" t="n"/>
      <c r="N121" s="10" t="n"/>
      <c r="O121" s="10">
        <f>IF(OR(N121="",F121=""),"",IF(OR(AND(F121="Up",N121="Long"),AND(F121="Down",N121="Short")),"OK","CHECK"))</f>
        <v/>
      </c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2">
        <f>IFERROR(ABS(Q121-R121)/Dashboard!$B$9*Dashboard!$B$10*W121,"")</f>
        <v/>
      </c>
      <c r="Y121" s="13">
        <f>IFERROR(IF(N121="Long",U121-Q121,IF(N121="Short",Q121-U121,"")),"")</f>
        <v/>
      </c>
      <c r="Z121" s="13">
        <f>IFERROR(Y121/Dashboard!$B$9,"")</f>
        <v/>
      </c>
      <c r="AA121" s="12">
        <f>IFERROR(Z121*Dashboard!$B$10*W121,"")</f>
        <v/>
      </c>
      <c r="AB121" s="14">
        <f>IFERROR(AA121/X121,"")</f>
        <v/>
      </c>
      <c r="AC121" s="10">
        <f>IF(AA121="","",IF(AA121&gt;0,1,0))</f>
        <v/>
      </c>
      <c r="AD121" s="12">
        <f>AD120+IF(AA121="",0,AA121)</f>
        <v/>
      </c>
      <c r="AE121" s="12">
        <f>MAX(AE120,AD121)</f>
        <v/>
      </c>
      <c r="AF121" s="12">
        <f>AE121-AD121</f>
        <v/>
      </c>
      <c r="AG121" s="10" t="n"/>
    </row>
    <row r="122">
      <c r="A122" s="10">
        <f>ROW()-2</f>
        <v/>
      </c>
      <c r="B122" s="10" t="n"/>
      <c r="C122" s="10" t="n"/>
      <c r="D122" s="10" t="n"/>
      <c r="E122" s="10" t="n"/>
      <c r="F122" s="10" t="n"/>
      <c r="G122" s="10" t="n"/>
      <c r="H122" s="10" t="n"/>
      <c r="I122" s="13">
        <f>IFERROR(ABS(H122-G122),"")</f>
        <v/>
      </c>
      <c r="J122" s="10" t="n"/>
      <c r="K122" s="10" t="n"/>
      <c r="L122" s="10">
        <f>IF(K122="","",IF(K122&gt;=Dashboard!$B$11,"A+","B-"))</f>
        <v/>
      </c>
      <c r="M122" s="10" t="n"/>
      <c r="N122" s="10" t="n"/>
      <c r="O122" s="10">
        <f>IF(OR(N122="",F122=""),"",IF(OR(AND(F122="Up",N122="Long"),AND(F122="Down",N122="Short")),"OK","CHECK"))</f>
        <v/>
      </c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2">
        <f>IFERROR(ABS(Q122-R122)/Dashboard!$B$9*Dashboard!$B$10*W122,"")</f>
        <v/>
      </c>
      <c r="Y122" s="13">
        <f>IFERROR(IF(N122="Long",U122-Q122,IF(N122="Short",Q122-U122,"")),"")</f>
        <v/>
      </c>
      <c r="Z122" s="13">
        <f>IFERROR(Y122/Dashboard!$B$9,"")</f>
        <v/>
      </c>
      <c r="AA122" s="12">
        <f>IFERROR(Z122*Dashboard!$B$10*W122,"")</f>
        <v/>
      </c>
      <c r="AB122" s="14">
        <f>IFERROR(AA122/X122,"")</f>
        <v/>
      </c>
      <c r="AC122" s="10">
        <f>IF(AA122="","",IF(AA122&gt;0,1,0))</f>
        <v/>
      </c>
      <c r="AD122" s="12">
        <f>AD121+IF(AA122="",0,AA122)</f>
        <v/>
      </c>
      <c r="AE122" s="12">
        <f>MAX(AE121,AD122)</f>
        <v/>
      </c>
      <c r="AF122" s="12">
        <f>AE122-AD122</f>
        <v/>
      </c>
      <c r="AG122" s="10" t="n"/>
    </row>
    <row r="123">
      <c r="A123" s="10">
        <f>ROW()-2</f>
        <v/>
      </c>
      <c r="B123" s="10" t="n"/>
      <c r="C123" s="10" t="n"/>
      <c r="D123" s="10" t="n"/>
      <c r="E123" s="10" t="n"/>
      <c r="F123" s="10" t="n"/>
      <c r="G123" s="10" t="n"/>
      <c r="H123" s="10" t="n"/>
      <c r="I123" s="13">
        <f>IFERROR(ABS(H123-G123),"")</f>
        <v/>
      </c>
      <c r="J123" s="10" t="n"/>
      <c r="K123" s="10" t="n"/>
      <c r="L123" s="10">
        <f>IF(K123="","",IF(K123&gt;=Dashboard!$B$11,"A+","B-"))</f>
        <v/>
      </c>
      <c r="M123" s="10" t="n"/>
      <c r="N123" s="10" t="n"/>
      <c r="O123" s="10">
        <f>IF(OR(N123="",F123=""),"",IF(OR(AND(F123="Up",N123="Long"),AND(F123="Down",N123="Short")),"OK","CHECK"))</f>
        <v/>
      </c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2">
        <f>IFERROR(ABS(Q123-R123)/Dashboard!$B$9*Dashboard!$B$10*W123,"")</f>
        <v/>
      </c>
      <c r="Y123" s="13">
        <f>IFERROR(IF(N123="Long",U123-Q123,IF(N123="Short",Q123-U123,"")),"")</f>
        <v/>
      </c>
      <c r="Z123" s="13">
        <f>IFERROR(Y123/Dashboard!$B$9,"")</f>
        <v/>
      </c>
      <c r="AA123" s="12">
        <f>IFERROR(Z123*Dashboard!$B$10*W123,"")</f>
        <v/>
      </c>
      <c r="AB123" s="14">
        <f>IFERROR(AA123/X123,"")</f>
        <v/>
      </c>
      <c r="AC123" s="10">
        <f>IF(AA123="","",IF(AA123&gt;0,1,0))</f>
        <v/>
      </c>
      <c r="AD123" s="12">
        <f>AD122+IF(AA123="",0,AA123)</f>
        <v/>
      </c>
      <c r="AE123" s="12">
        <f>MAX(AE122,AD123)</f>
        <v/>
      </c>
      <c r="AF123" s="12">
        <f>AE123-AD123</f>
        <v/>
      </c>
      <c r="AG123" s="10" t="n"/>
    </row>
    <row r="124">
      <c r="A124" s="10">
        <f>ROW()-2</f>
        <v/>
      </c>
      <c r="B124" s="10" t="n"/>
      <c r="C124" s="10" t="n"/>
      <c r="D124" s="10" t="n"/>
      <c r="E124" s="10" t="n"/>
      <c r="F124" s="10" t="n"/>
      <c r="G124" s="10" t="n"/>
      <c r="H124" s="10" t="n"/>
      <c r="I124" s="13">
        <f>IFERROR(ABS(H124-G124),"")</f>
        <v/>
      </c>
      <c r="J124" s="10" t="n"/>
      <c r="K124" s="10" t="n"/>
      <c r="L124" s="10">
        <f>IF(K124="","",IF(K124&gt;=Dashboard!$B$11,"A+","B-"))</f>
        <v/>
      </c>
      <c r="M124" s="10" t="n"/>
      <c r="N124" s="10" t="n"/>
      <c r="O124" s="10">
        <f>IF(OR(N124="",F124=""),"",IF(OR(AND(F124="Up",N124="Long"),AND(F124="Down",N124="Short")),"OK","CHECK"))</f>
        <v/>
      </c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2">
        <f>IFERROR(ABS(Q124-R124)/Dashboard!$B$9*Dashboard!$B$10*W124,"")</f>
        <v/>
      </c>
      <c r="Y124" s="13">
        <f>IFERROR(IF(N124="Long",U124-Q124,IF(N124="Short",Q124-U124,"")),"")</f>
        <v/>
      </c>
      <c r="Z124" s="13">
        <f>IFERROR(Y124/Dashboard!$B$9,"")</f>
        <v/>
      </c>
      <c r="AA124" s="12">
        <f>IFERROR(Z124*Dashboard!$B$10*W124,"")</f>
        <v/>
      </c>
      <c r="AB124" s="14">
        <f>IFERROR(AA124/X124,"")</f>
        <v/>
      </c>
      <c r="AC124" s="10">
        <f>IF(AA124="","",IF(AA124&gt;0,1,0))</f>
        <v/>
      </c>
      <c r="AD124" s="12">
        <f>AD123+IF(AA124="",0,AA124)</f>
        <v/>
      </c>
      <c r="AE124" s="12">
        <f>MAX(AE123,AD124)</f>
        <v/>
      </c>
      <c r="AF124" s="12">
        <f>AE124-AD124</f>
        <v/>
      </c>
      <c r="AG124" s="10" t="n"/>
    </row>
    <row r="125">
      <c r="A125" s="10">
        <f>ROW()-2</f>
        <v/>
      </c>
      <c r="B125" s="10" t="n"/>
      <c r="C125" s="10" t="n"/>
      <c r="D125" s="10" t="n"/>
      <c r="E125" s="10" t="n"/>
      <c r="F125" s="10" t="n"/>
      <c r="G125" s="10" t="n"/>
      <c r="H125" s="10" t="n"/>
      <c r="I125" s="13">
        <f>IFERROR(ABS(H125-G125),"")</f>
        <v/>
      </c>
      <c r="J125" s="10" t="n"/>
      <c r="K125" s="10" t="n"/>
      <c r="L125" s="10">
        <f>IF(K125="","",IF(K125&gt;=Dashboard!$B$11,"A+","B-"))</f>
        <v/>
      </c>
      <c r="M125" s="10" t="n"/>
      <c r="N125" s="10" t="n"/>
      <c r="O125" s="10">
        <f>IF(OR(N125="",F125=""),"",IF(OR(AND(F125="Up",N125="Long"),AND(F125="Down",N125="Short")),"OK","CHECK"))</f>
        <v/>
      </c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2">
        <f>IFERROR(ABS(Q125-R125)/Dashboard!$B$9*Dashboard!$B$10*W125,"")</f>
        <v/>
      </c>
      <c r="Y125" s="13">
        <f>IFERROR(IF(N125="Long",U125-Q125,IF(N125="Short",Q125-U125,"")),"")</f>
        <v/>
      </c>
      <c r="Z125" s="13">
        <f>IFERROR(Y125/Dashboard!$B$9,"")</f>
        <v/>
      </c>
      <c r="AA125" s="12">
        <f>IFERROR(Z125*Dashboard!$B$10*W125,"")</f>
        <v/>
      </c>
      <c r="AB125" s="14">
        <f>IFERROR(AA125/X125,"")</f>
        <v/>
      </c>
      <c r="AC125" s="10">
        <f>IF(AA125="","",IF(AA125&gt;0,1,0))</f>
        <v/>
      </c>
      <c r="AD125" s="12">
        <f>AD124+IF(AA125="",0,AA125)</f>
        <v/>
      </c>
      <c r="AE125" s="12">
        <f>MAX(AE124,AD125)</f>
        <v/>
      </c>
      <c r="AF125" s="12">
        <f>AE125-AD125</f>
        <v/>
      </c>
      <c r="AG125" s="10" t="n"/>
    </row>
    <row r="126">
      <c r="A126" s="10">
        <f>ROW()-2</f>
        <v/>
      </c>
      <c r="B126" s="10" t="n"/>
      <c r="C126" s="10" t="n"/>
      <c r="D126" s="10" t="n"/>
      <c r="E126" s="10" t="n"/>
      <c r="F126" s="10" t="n"/>
      <c r="G126" s="10" t="n"/>
      <c r="H126" s="10" t="n"/>
      <c r="I126" s="13">
        <f>IFERROR(ABS(H126-G126),"")</f>
        <v/>
      </c>
      <c r="J126" s="10" t="n"/>
      <c r="K126" s="10" t="n"/>
      <c r="L126" s="10">
        <f>IF(K126="","",IF(K126&gt;=Dashboard!$B$11,"A+","B-"))</f>
        <v/>
      </c>
      <c r="M126" s="10" t="n"/>
      <c r="N126" s="10" t="n"/>
      <c r="O126" s="10">
        <f>IF(OR(N126="",F126=""),"",IF(OR(AND(F126="Up",N126="Long"),AND(F126="Down",N126="Short")),"OK","CHECK"))</f>
        <v/>
      </c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2">
        <f>IFERROR(ABS(Q126-R126)/Dashboard!$B$9*Dashboard!$B$10*W126,"")</f>
        <v/>
      </c>
      <c r="Y126" s="13">
        <f>IFERROR(IF(N126="Long",U126-Q126,IF(N126="Short",Q126-U126,"")),"")</f>
        <v/>
      </c>
      <c r="Z126" s="13">
        <f>IFERROR(Y126/Dashboard!$B$9,"")</f>
        <v/>
      </c>
      <c r="AA126" s="12">
        <f>IFERROR(Z126*Dashboard!$B$10*W126,"")</f>
        <v/>
      </c>
      <c r="AB126" s="14">
        <f>IFERROR(AA126/X126,"")</f>
        <v/>
      </c>
      <c r="AC126" s="10">
        <f>IF(AA126="","",IF(AA126&gt;0,1,0))</f>
        <v/>
      </c>
      <c r="AD126" s="12">
        <f>AD125+IF(AA126="",0,AA126)</f>
        <v/>
      </c>
      <c r="AE126" s="12">
        <f>MAX(AE125,AD126)</f>
        <v/>
      </c>
      <c r="AF126" s="12">
        <f>AE126-AD126</f>
        <v/>
      </c>
      <c r="AG126" s="10" t="n"/>
    </row>
    <row r="127">
      <c r="A127" s="10">
        <f>ROW()-2</f>
        <v/>
      </c>
      <c r="B127" s="10" t="n"/>
      <c r="C127" s="10" t="n"/>
      <c r="D127" s="10" t="n"/>
      <c r="E127" s="10" t="n"/>
      <c r="F127" s="10" t="n"/>
      <c r="G127" s="10" t="n"/>
      <c r="H127" s="10" t="n"/>
      <c r="I127" s="13">
        <f>IFERROR(ABS(H127-G127),"")</f>
        <v/>
      </c>
      <c r="J127" s="10" t="n"/>
      <c r="K127" s="10" t="n"/>
      <c r="L127" s="10">
        <f>IF(K127="","",IF(K127&gt;=Dashboard!$B$11,"A+","B-"))</f>
        <v/>
      </c>
      <c r="M127" s="10" t="n"/>
      <c r="N127" s="10" t="n"/>
      <c r="O127" s="10">
        <f>IF(OR(N127="",F127=""),"",IF(OR(AND(F127="Up",N127="Long"),AND(F127="Down",N127="Short")),"OK","CHECK"))</f>
        <v/>
      </c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2">
        <f>IFERROR(ABS(Q127-R127)/Dashboard!$B$9*Dashboard!$B$10*W127,"")</f>
        <v/>
      </c>
      <c r="Y127" s="13">
        <f>IFERROR(IF(N127="Long",U127-Q127,IF(N127="Short",Q127-U127,"")),"")</f>
        <v/>
      </c>
      <c r="Z127" s="13">
        <f>IFERROR(Y127/Dashboard!$B$9,"")</f>
        <v/>
      </c>
      <c r="AA127" s="12">
        <f>IFERROR(Z127*Dashboard!$B$10*W127,"")</f>
        <v/>
      </c>
      <c r="AB127" s="14">
        <f>IFERROR(AA127/X127,"")</f>
        <v/>
      </c>
      <c r="AC127" s="10">
        <f>IF(AA127="","",IF(AA127&gt;0,1,0))</f>
        <v/>
      </c>
      <c r="AD127" s="12">
        <f>AD126+IF(AA127="",0,AA127)</f>
        <v/>
      </c>
      <c r="AE127" s="12">
        <f>MAX(AE126,AD127)</f>
        <v/>
      </c>
      <c r="AF127" s="12">
        <f>AE127-AD127</f>
        <v/>
      </c>
      <c r="AG127" s="10" t="n"/>
    </row>
    <row r="128">
      <c r="A128" s="10">
        <f>ROW()-2</f>
        <v/>
      </c>
      <c r="B128" s="10" t="n"/>
      <c r="C128" s="10" t="n"/>
      <c r="D128" s="10" t="n"/>
      <c r="E128" s="10" t="n"/>
      <c r="F128" s="10" t="n"/>
      <c r="G128" s="10" t="n"/>
      <c r="H128" s="10" t="n"/>
      <c r="I128" s="13">
        <f>IFERROR(ABS(H128-G128),"")</f>
        <v/>
      </c>
      <c r="J128" s="10" t="n"/>
      <c r="K128" s="10" t="n"/>
      <c r="L128" s="10">
        <f>IF(K128="","",IF(K128&gt;=Dashboard!$B$11,"A+","B-"))</f>
        <v/>
      </c>
      <c r="M128" s="10" t="n"/>
      <c r="N128" s="10" t="n"/>
      <c r="O128" s="10">
        <f>IF(OR(N128="",F128=""),"",IF(OR(AND(F128="Up",N128="Long"),AND(F128="Down",N128="Short")),"OK","CHECK"))</f>
        <v/>
      </c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2">
        <f>IFERROR(ABS(Q128-R128)/Dashboard!$B$9*Dashboard!$B$10*W128,"")</f>
        <v/>
      </c>
      <c r="Y128" s="13">
        <f>IFERROR(IF(N128="Long",U128-Q128,IF(N128="Short",Q128-U128,"")),"")</f>
        <v/>
      </c>
      <c r="Z128" s="13">
        <f>IFERROR(Y128/Dashboard!$B$9,"")</f>
        <v/>
      </c>
      <c r="AA128" s="12">
        <f>IFERROR(Z128*Dashboard!$B$10*W128,"")</f>
        <v/>
      </c>
      <c r="AB128" s="14">
        <f>IFERROR(AA128/X128,"")</f>
        <v/>
      </c>
      <c r="AC128" s="10">
        <f>IF(AA128="","",IF(AA128&gt;0,1,0))</f>
        <v/>
      </c>
      <c r="AD128" s="12">
        <f>AD127+IF(AA128="",0,AA128)</f>
        <v/>
      </c>
      <c r="AE128" s="12">
        <f>MAX(AE127,AD128)</f>
        <v/>
      </c>
      <c r="AF128" s="12">
        <f>AE128-AD128</f>
        <v/>
      </c>
      <c r="AG128" s="10" t="n"/>
    </row>
    <row r="129">
      <c r="A129" s="10">
        <f>ROW()-2</f>
        <v/>
      </c>
      <c r="B129" s="10" t="n"/>
      <c r="C129" s="10" t="n"/>
      <c r="D129" s="10" t="n"/>
      <c r="E129" s="10" t="n"/>
      <c r="F129" s="10" t="n"/>
      <c r="G129" s="10" t="n"/>
      <c r="H129" s="10" t="n"/>
      <c r="I129" s="13">
        <f>IFERROR(ABS(H129-G129),"")</f>
        <v/>
      </c>
      <c r="J129" s="10" t="n"/>
      <c r="K129" s="10" t="n"/>
      <c r="L129" s="10">
        <f>IF(K129="","",IF(K129&gt;=Dashboard!$B$11,"A+","B-"))</f>
        <v/>
      </c>
      <c r="M129" s="10" t="n"/>
      <c r="N129" s="10" t="n"/>
      <c r="O129" s="10">
        <f>IF(OR(N129="",F129=""),"",IF(OR(AND(F129="Up",N129="Long"),AND(F129="Down",N129="Short")),"OK","CHECK"))</f>
        <v/>
      </c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2">
        <f>IFERROR(ABS(Q129-R129)/Dashboard!$B$9*Dashboard!$B$10*W129,"")</f>
        <v/>
      </c>
      <c r="Y129" s="13">
        <f>IFERROR(IF(N129="Long",U129-Q129,IF(N129="Short",Q129-U129,"")),"")</f>
        <v/>
      </c>
      <c r="Z129" s="13">
        <f>IFERROR(Y129/Dashboard!$B$9,"")</f>
        <v/>
      </c>
      <c r="AA129" s="12">
        <f>IFERROR(Z129*Dashboard!$B$10*W129,"")</f>
        <v/>
      </c>
      <c r="AB129" s="14">
        <f>IFERROR(AA129/X129,"")</f>
        <v/>
      </c>
      <c r="AC129" s="10">
        <f>IF(AA129="","",IF(AA129&gt;0,1,0))</f>
        <v/>
      </c>
      <c r="AD129" s="12">
        <f>AD128+IF(AA129="",0,AA129)</f>
        <v/>
      </c>
      <c r="AE129" s="12">
        <f>MAX(AE128,AD129)</f>
        <v/>
      </c>
      <c r="AF129" s="12">
        <f>AE129-AD129</f>
        <v/>
      </c>
      <c r="AG129" s="10" t="n"/>
    </row>
    <row r="130">
      <c r="A130" s="10">
        <f>ROW()-2</f>
        <v/>
      </c>
      <c r="B130" s="10" t="n"/>
      <c r="C130" s="10" t="n"/>
      <c r="D130" s="10" t="n"/>
      <c r="E130" s="10" t="n"/>
      <c r="F130" s="10" t="n"/>
      <c r="G130" s="10" t="n"/>
      <c r="H130" s="10" t="n"/>
      <c r="I130" s="13">
        <f>IFERROR(ABS(H130-G130),"")</f>
        <v/>
      </c>
      <c r="J130" s="10" t="n"/>
      <c r="K130" s="10" t="n"/>
      <c r="L130" s="10">
        <f>IF(K130="","",IF(K130&gt;=Dashboard!$B$11,"A+","B-"))</f>
        <v/>
      </c>
      <c r="M130" s="10" t="n"/>
      <c r="N130" s="10" t="n"/>
      <c r="O130" s="10">
        <f>IF(OR(N130="",F130=""),"",IF(OR(AND(F130="Up",N130="Long"),AND(F130="Down",N130="Short")),"OK","CHECK"))</f>
        <v/>
      </c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2">
        <f>IFERROR(ABS(Q130-R130)/Dashboard!$B$9*Dashboard!$B$10*W130,"")</f>
        <v/>
      </c>
      <c r="Y130" s="13">
        <f>IFERROR(IF(N130="Long",U130-Q130,IF(N130="Short",Q130-U130,"")),"")</f>
        <v/>
      </c>
      <c r="Z130" s="13">
        <f>IFERROR(Y130/Dashboard!$B$9,"")</f>
        <v/>
      </c>
      <c r="AA130" s="12">
        <f>IFERROR(Z130*Dashboard!$B$10*W130,"")</f>
        <v/>
      </c>
      <c r="AB130" s="14">
        <f>IFERROR(AA130/X130,"")</f>
        <v/>
      </c>
      <c r="AC130" s="10">
        <f>IF(AA130="","",IF(AA130&gt;0,1,0))</f>
        <v/>
      </c>
      <c r="AD130" s="12">
        <f>AD129+IF(AA130="",0,AA130)</f>
        <v/>
      </c>
      <c r="AE130" s="12">
        <f>MAX(AE129,AD130)</f>
        <v/>
      </c>
      <c r="AF130" s="12">
        <f>AE130-AD130</f>
        <v/>
      </c>
      <c r="AG130" s="10" t="n"/>
    </row>
    <row r="131">
      <c r="A131" s="10">
        <f>ROW()-2</f>
        <v/>
      </c>
      <c r="B131" s="10" t="n"/>
      <c r="C131" s="10" t="n"/>
      <c r="D131" s="10" t="n"/>
      <c r="E131" s="10" t="n"/>
      <c r="F131" s="10" t="n"/>
      <c r="G131" s="10" t="n"/>
      <c r="H131" s="10" t="n"/>
      <c r="I131" s="13">
        <f>IFERROR(ABS(H131-G131),"")</f>
        <v/>
      </c>
      <c r="J131" s="10" t="n"/>
      <c r="K131" s="10" t="n"/>
      <c r="L131" s="10">
        <f>IF(K131="","",IF(K131&gt;=Dashboard!$B$11,"A+","B-"))</f>
        <v/>
      </c>
      <c r="M131" s="10" t="n"/>
      <c r="N131" s="10" t="n"/>
      <c r="O131" s="10">
        <f>IF(OR(N131="",F131=""),"",IF(OR(AND(F131="Up",N131="Long"),AND(F131="Down",N131="Short")),"OK","CHECK"))</f>
        <v/>
      </c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2">
        <f>IFERROR(ABS(Q131-R131)/Dashboard!$B$9*Dashboard!$B$10*W131,"")</f>
        <v/>
      </c>
      <c r="Y131" s="13">
        <f>IFERROR(IF(N131="Long",U131-Q131,IF(N131="Short",Q131-U131,"")),"")</f>
        <v/>
      </c>
      <c r="Z131" s="13">
        <f>IFERROR(Y131/Dashboard!$B$9,"")</f>
        <v/>
      </c>
      <c r="AA131" s="12">
        <f>IFERROR(Z131*Dashboard!$B$10*W131,"")</f>
        <v/>
      </c>
      <c r="AB131" s="14">
        <f>IFERROR(AA131/X131,"")</f>
        <v/>
      </c>
      <c r="AC131" s="10">
        <f>IF(AA131="","",IF(AA131&gt;0,1,0))</f>
        <v/>
      </c>
      <c r="AD131" s="12">
        <f>AD130+IF(AA131="",0,AA131)</f>
        <v/>
      </c>
      <c r="AE131" s="12">
        <f>MAX(AE130,AD131)</f>
        <v/>
      </c>
      <c r="AF131" s="12">
        <f>AE131-AD131</f>
        <v/>
      </c>
      <c r="AG131" s="10" t="n"/>
    </row>
    <row r="132">
      <c r="A132" s="10">
        <f>ROW()-2</f>
        <v/>
      </c>
      <c r="B132" s="10" t="n"/>
      <c r="C132" s="10" t="n"/>
      <c r="D132" s="10" t="n"/>
      <c r="E132" s="10" t="n"/>
      <c r="F132" s="10" t="n"/>
      <c r="G132" s="10" t="n"/>
      <c r="H132" s="10" t="n"/>
      <c r="I132" s="13">
        <f>IFERROR(ABS(H132-G132),"")</f>
        <v/>
      </c>
      <c r="J132" s="10" t="n"/>
      <c r="K132" s="10" t="n"/>
      <c r="L132" s="10">
        <f>IF(K132="","",IF(K132&gt;=Dashboard!$B$11,"A+","B-"))</f>
        <v/>
      </c>
      <c r="M132" s="10" t="n"/>
      <c r="N132" s="10" t="n"/>
      <c r="O132" s="10">
        <f>IF(OR(N132="",F132=""),"",IF(OR(AND(F132="Up",N132="Long"),AND(F132="Down",N132="Short")),"OK","CHECK"))</f>
        <v/>
      </c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2">
        <f>IFERROR(ABS(Q132-R132)/Dashboard!$B$9*Dashboard!$B$10*W132,"")</f>
        <v/>
      </c>
      <c r="Y132" s="13">
        <f>IFERROR(IF(N132="Long",U132-Q132,IF(N132="Short",Q132-U132,"")),"")</f>
        <v/>
      </c>
      <c r="Z132" s="13">
        <f>IFERROR(Y132/Dashboard!$B$9,"")</f>
        <v/>
      </c>
      <c r="AA132" s="12">
        <f>IFERROR(Z132*Dashboard!$B$10*W132,"")</f>
        <v/>
      </c>
      <c r="AB132" s="14">
        <f>IFERROR(AA132/X132,"")</f>
        <v/>
      </c>
      <c r="AC132" s="10">
        <f>IF(AA132="","",IF(AA132&gt;0,1,0))</f>
        <v/>
      </c>
      <c r="AD132" s="12">
        <f>AD131+IF(AA132="",0,AA132)</f>
        <v/>
      </c>
      <c r="AE132" s="12">
        <f>MAX(AE131,AD132)</f>
        <v/>
      </c>
      <c r="AF132" s="12">
        <f>AE132-AD132</f>
        <v/>
      </c>
      <c r="AG132" s="10" t="n"/>
    </row>
    <row r="133">
      <c r="A133" s="10">
        <f>ROW()-2</f>
        <v/>
      </c>
      <c r="B133" s="10" t="n"/>
      <c r="C133" s="10" t="n"/>
      <c r="D133" s="10" t="n"/>
      <c r="E133" s="10" t="n"/>
      <c r="F133" s="10" t="n"/>
      <c r="G133" s="10" t="n"/>
      <c r="H133" s="10" t="n"/>
      <c r="I133" s="13">
        <f>IFERROR(ABS(H133-G133),"")</f>
        <v/>
      </c>
      <c r="J133" s="10" t="n"/>
      <c r="K133" s="10" t="n"/>
      <c r="L133" s="10">
        <f>IF(K133="","",IF(K133&gt;=Dashboard!$B$11,"A+","B-"))</f>
        <v/>
      </c>
      <c r="M133" s="10" t="n"/>
      <c r="N133" s="10" t="n"/>
      <c r="O133" s="10">
        <f>IF(OR(N133="",F133=""),"",IF(OR(AND(F133="Up",N133="Long"),AND(F133="Down",N133="Short")),"OK","CHECK"))</f>
        <v/>
      </c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2">
        <f>IFERROR(ABS(Q133-R133)/Dashboard!$B$9*Dashboard!$B$10*W133,"")</f>
        <v/>
      </c>
      <c r="Y133" s="13">
        <f>IFERROR(IF(N133="Long",U133-Q133,IF(N133="Short",Q133-U133,"")),"")</f>
        <v/>
      </c>
      <c r="Z133" s="13">
        <f>IFERROR(Y133/Dashboard!$B$9,"")</f>
        <v/>
      </c>
      <c r="AA133" s="12">
        <f>IFERROR(Z133*Dashboard!$B$10*W133,"")</f>
        <v/>
      </c>
      <c r="AB133" s="14">
        <f>IFERROR(AA133/X133,"")</f>
        <v/>
      </c>
      <c r="AC133" s="10">
        <f>IF(AA133="","",IF(AA133&gt;0,1,0))</f>
        <v/>
      </c>
      <c r="AD133" s="12">
        <f>AD132+IF(AA133="",0,AA133)</f>
        <v/>
      </c>
      <c r="AE133" s="12">
        <f>MAX(AE132,AD133)</f>
        <v/>
      </c>
      <c r="AF133" s="12">
        <f>AE133-AD133</f>
        <v/>
      </c>
      <c r="AG133" s="10" t="n"/>
    </row>
    <row r="134">
      <c r="A134" s="10">
        <f>ROW()-2</f>
        <v/>
      </c>
      <c r="B134" s="10" t="n"/>
      <c r="C134" s="10" t="n"/>
      <c r="D134" s="10" t="n"/>
      <c r="E134" s="10" t="n"/>
      <c r="F134" s="10" t="n"/>
      <c r="G134" s="10" t="n"/>
      <c r="H134" s="10" t="n"/>
      <c r="I134" s="13">
        <f>IFERROR(ABS(H134-G134),"")</f>
        <v/>
      </c>
      <c r="J134" s="10" t="n"/>
      <c r="K134" s="10" t="n"/>
      <c r="L134" s="10">
        <f>IF(K134="","",IF(K134&gt;=Dashboard!$B$11,"A+","B-"))</f>
        <v/>
      </c>
      <c r="M134" s="10" t="n"/>
      <c r="N134" s="10" t="n"/>
      <c r="O134" s="10">
        <f>IF(OR(N134="",F134=""),"",IF(OR(AND(F134="Up",N134="Long"),AND(F134="Down",N134="Short")),"OK","CHECK"))</f>
        <v/>
      </c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2">
        <f>IFERROR(ABS(Q134-R134)/Dashboard!$B$9*Dashboard!$B$10*W134,"")</f>
        <v/>
      </c>
      <c r="Y134" s="13">
        <f>IFERROR(IF(N134="Long",U134-Q134,IF(N134="Short",Q134-U134,"")),"")</f>
        <v/>
      </c>
      <c r="Z134" s="13">
        <f>IFERROR(Y134/Dashboard!$B$9,"")</f>
        <v/>
      </c>
      <c r="AA134" s="12">
        <f>IFERROR(Z134*Dashboard!$B$10*W134,"")</f>
        <v/>
      </c>
      <c r="AB134" s="14">
        <f>IFERROR(AA134/X134,"")</f>
        <v/>
      </c>
      <c r="AC134" s="10">
        <f>IF(AA134="","",IF(AA134&gt;0,1,0))</f>
        <v/>
      </c>
      <c r="AD134" s="12">
        <f>AD133+IF(AA134="",0,AA134)</f>
        <v/>
      </c>
      <c r="AE134" s="12">
        <f>MAX(AE133,AD134)</f>
        <v/>
      </c>
      <c r="AF134" s="12">
        <f>AE134-AD134</f>
        <v/>
      </c>
      <c r="AG134" s="10" t="n"/>
    </row>
    <row r="135">
      <c r="A135" s="10">
        <f>ROW()-2</f>
        <v/>
      </c>
      <c r="B135" s="10" t="n"/>
      <c r="C135" s="10" t="n"/>
      <c r="D135" s="10" t="n"/>
      <c r="E135" s="10" t="n"/>
      <c r="F135" s="10" t="n"/>
      <c r="G135" s="10" t="n"/>
      <c r="H135" s="10" t="n"/>
      <c r="I135" s="13">
        <f>IFERROR(ABS(H135-G135),"")</f>
        <v/>
      </c>
      <c r="J135" s="10" t="n"/>
      <c r="K135" s="10" t="n"/>
      <c r="L135" s="10">
        <f>IF(K135="","",IF(K135&gt;=Dashboard!$B$11,"A+","B-"))</f>
        <v/>
      </c>
      <c r="M135" s="10" t="n"/>
      <c r="N135" s="10" t="n"/>
      <c r="O135" s="10">
        <f>IF(OR(N135="",F135=""),"",IF(OR(AND(F135="Up",N135="Long"),AND(F135="Down",N135="Short")),"OK","CHECK"))</f>
        <v/>
      </c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2">
        <f>IFERROR(ABS(Q135-R135)/Dashboard!$B$9*Dashboard!$B$10*W135,"")</f>
        <v/>
      </c>
      <c r="Y135" s="13">
        <f>IFERROR(IF(N135="Long",U135-Q135,IF(N135="Short",Q135-U135,"")),"")</f>
        <v/>
      </c>
      <c r="Z135" s="13">
        <f>IFERROR(Y135/Dashboard!$B$9,"")</f>
        <v/>
      </c>
      <c r="AA135" s="12">
        <f>IFERROR(Z135*Dashboard!$B$10*W135,"")</f>
        <v/>
      </c>
      <c r="AB135" s="14">
        <f>IFERROR(AA135/X135,"")</f>
        <v/>
      </c>
      <c r="AC135" s="10">
        <f>IF(AA135="","",IF(AA135&gt;0,1,0))</f>
        <v/>
      </c>
      <c r="AD135" s="12">
        <f>AD134+IF(AA135="",0,AA135)</f>
        <v/>
      </c>
      <c r="AE135" s="12">
        <f>MAX(AE134,AD135)</f>
        <v/>
      </c>
      <c r="AF135" s="12">
        <f>AE135-AD135</f>
        <v/>
      </c>
      <c r="AG135" s="10" t="n"/>
    </row>
    <row r="136">
      <c r="A136" s="10">
        <f>ROW()-2</f>
        <v/>
      </c>
      <c r="B136" s="10" t="n"/>
      <c r="C136" s="10" t="n"/>
      <c r="D136" s="10" t="n"/>
      <c r="E136" s="10" t="n"/>
      <c r="F136" s="10" t="n"/>
      <c r="G136" s="10" t="n"/>
      <c r="H136" s="10" t="n"/>
      <c r="I136" s="13">
        <f>IFERROR(ABS(H136-G136),"")</f>
        <v/>
      </c>
      <c r="J136" s="10" t="n"/>
      <c r="K136" s="10" t="n"/>
      <c r="L136" s="10">
        <f>IF(K136="","",IF(K136&gt;=Dashboard!$B$11,"A+","B-"))</f>
        <v/>
      </c>
      <c r="M136" s="10" t="n"/>
      <c r="N136" s="10" t="n"/>
      <c r="O136" s="10">
        <f>IF(OR(N136="",F136=""),"",IF(OR(AND(F136="Up",N136="Long"),AND(F136="Down",N136="Short")),"OK","CHECK"))</f>
        <v/>
      </c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2">
        <f>IFERROR(ABS(Q136-R136)/Dashboard!$B$9*Dashboard!$B$10*W136,"")</f>
        <v/>
      </c>
      <c r="Y136" s="13">
        <f>IFERROR(IF(N136="Long",U136-Q136,IF(N136="Short",Q136-U136,"")),"")</f>
        <v/>
      </c>
      <c r="Z136" s="13">
        <f>IFERROR(Y136/Dashboard!$B$9,"")</f>
        <v/>
      </c>
      <c r="AA136" s="12">
        <f>IFERROR(Z136*Dashboard!$B$10*W136,"")</f>
        <v/>
      </c>
      <c r="AB136" s="14">
        <f>IFERROR(AA136/X136,"")</f>
        <v/>
      </c>
      <c r="AC136" s="10">
        <f>IF(AA136="","",IF(AA136&gt;0,1,0))</f>
        <v/>
      </c>
      <c r="AD136" s="12">
        <f>AD135+IF(AA136="",0,AA136)</f>
        <v/>
      </c>
      <c r="AE136" s="12">
        <f>MAX(AE135,AD136)</f>
        <v/>
      </c>
      <c r="AF136" s="12">
        <f>AE136-AD136</f>
        <v/>
      </c>
      <c r="AG136" s="10" t="n"/>
    </row>
    <row r="137">
      <c r="A137" s="10">
        <f>ROW()-2</f>
        <v/>
      </c>
      <c r="B137" s="10" t="n"/>
      <c r="C137" s="10" t="n"/>
      <c r="D137" s="10" t="n"/>
      <c r="E137" s="10" t="n"/>
      <c r="F137" s="10" t="n"/>
      <c r="G137" s="10" t="n"/>
      <c r="H137" s="10" t="n"/>
      <c r="I137" s="13">
        <f>IFERROR(ABS(H137-G137),"")</f>
        <v/>
      </c>
      <c r="J137" s="10" t="n"/>
      <c r="K137" s="10" t="n"/>
      <c r="L137" s="10">
        <f>IF(K137="","",IF(K137&gt;=Dashboard!$B$11,"A+","B-"))</f>
        <v/>
      </c>
      <c r="M137" s="10" t="n"/>
      <c r="N137" s="10" t="n"/>
      <c r="O137" s="10">
        <f>IF(OR(N137="",F137=""),"",IF(OR(AND(F137="Up",N137="Long"),AND(F137="Down",N137="Short")),"OK","CHECK"))</f>
        <v/>
      </c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2">
        <f>IFERROR(ABS(Q137-R137)/Dashboard!$B$9*Dashboard!$B$10*W137,"")</f>
        <v/>
      </c>
      <c r="Y137" s="13">
        <f>IFERROR(IF(N137="Long",U137-Q137,IF(N137="Short",Q137-U137,"")),"")</f>
        <v/>
      </c>
      <c r="Z137" s="13">
        <f>IFERROR(Y137/Dashboard!$B$9,"")</f>
        <v/>
      </c>
      <c r="AA137" s="12">
        <f>IFERROR(Z137*Dashboard!$B$10*W137,"")</f>
        <v/>
      </c>
      <c r="AB137" s="14">
        <f>IFERROR(AA137/X137,"")</f>
        <v/>
      </c>
      <c r="AC137" s="10">
        <f>IF(AA137="","",IF(AA137&gt;0,1,0))</f>
        <v/>
      </c>
      <c r="AD137" s="12">
        <f>AD136+IF(AA137="",0,AA137)</f>
        <v/>
      </c>
      <c r="AE137" s="12">
        <f>MAX(AE136,AD137)</f>
        <v/>
      </c>
      <c r="AF137" s="12">
        <f>AE137-AD137</f>
        <v/>
      </c>
      <c r="AG137" s="10" t="n"/>
    </row>
    <row r="138">
      <c r="A138" s="10">
        <f>ROW()-2</f>
        <v/>
      </c>
      <c r="B138" s="10" t="n"/>
      <c r="C138" s="10" t="n"/>
      <c r="D138" s="10" t="n"/>
      <c r="E138" s="10" t="n"/>
      <c r="F138" s="10" t="n"/>
      <c r="G138" s="10" t="n"/>
      <c r="H138" s="10" t="n"/>
      <c r="I138" s="13">
        <f>IFERROR(ABS(H138-G138),"")</f>
        <v/>
      </c>
      <c r="J138" s="10" t="n"/>
      <c r="K138" s="10" t="n"/>
      <c r="L138" s="10">
        <f>IF(K138="","",IF(K138&gt;=Dashboard!$B$11,"A+","B-"))</f>
        <v/>
      </c>
      <c r="M138" s="10" t="n"/>
      <c r="N138" s="10" t="n"/>
      <c r="O138" s="10">
        <f>IF(OR(N138="",F138=""),"",IF(OR(AND(F138="Up",N138="Long"),AND(F138="Down",N138="Short")),"OK","CHECK"))</f>
        <v/>
      </c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2">
        <f>IFERROR(ABS(Q138-R138)/Dashboard!$B$9*Dashboard!$B$10*W138,"")</f>
        <v/>
      </c>
      <c r="Y138" s="13">
        <f>IFERROR(IF(N138="Long",U138-Q138,IF(N138="Short",Q138-U138,"")),"")</f>
        <v/>
      </c>
      <c r="Z138" s="13">
        <f>IFERROR(Y138/Dashboard!$B$9,"")</f>
        <v/>
      </c>
      <c r="AA138" s="12">
        <f>IFERROR(Z138*Dashboard!$B$10*W138,"")</f>
        <v/>
      </c>
      <c r="AB138" s="14">
        <f>IFERROR(AA138/X138,"")</f>
        <v/>
      </c>
      <c r="AC138" s="10">
        <f>IF(AA138="","",IF(AA138&gt;0,1,0))</f>
        <v/>
      </c>
      <c r="AD138" s="12">
        <f>AD137+IF(AA138="",0,AA138)</f>
        <v/>
      </c>
      <c r="AE138" s="12">
        <f>MAX(AE137,AD138)</f>
        <v/>
      </c>
      <c r="AF138" s="12">
        <f>AE138-AD138</f>
        <v/>
      </c>
      <c r="AG138" s="10" t="n"/>
    </row>
    <row r="139">
      <c r="A139" s="10">
        <f>ROW()-2</f>
        <v/>
      </c>
      <c r="B139" s="10" t="n"/>
      <c r="C139" s="10" t="n"/>
      <c r="D139" s="10" t="n"/>
      <c r="E139" s="10" t="n"/>
      <c r="F139" s="10" t="n"/>
      <c r="G139" s="10" t="n"/>
      <c r="H139" s="10" t="n"/>
      <c r="I139" s="13">
        <f>IFERROR(ABS(H139-G139),"")</f>
        <v/>
      </c>
      <c r="J139" s="10" t="n"/>
      <c r="K139" s="10" t="n"/>
      <c r="L139" s="10">
        <f>IF(K139="","",IF(K139&gt;=Dashboard!$B$11,"A+","B-"))</f>
        <v/>
      </c>
      <c r="M139" s="10" t="n"/>
      <c r="N139" s="10" t="n"/>
      <c r="O139" s="10">
        <f>IF(OR(N139="",F139=""),"",IF(OR(AND(F139="Up",N139="Long"),AND(F139="Down",N139="Short")),"OK","CHECK"))</f>
        <v/>
      </c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2">
        <f>IFERROR(ABS(Q139-R139)/Dashboard!$B$9*Dashboard!$B$10*W139,"")</f>
        <v/>
      </c>
      <c r="Y139" s="13">
        <f>IFERROR(IF(N139="Long",U139-Q139,IF(N139="Short",Q139-U139,"")),"")</f>
        <v/>
      </c>
      <c r="Z139" s="13">
        <f>IFERROR(Y139/Dashboard!$B$9,"")</f>
        <v/>
      </c>
      <c r="AA139" s="12">
        <f>IFERROR(Z139*Dashboard!$B$10*W139,"")</f>
        <v/>
      </c>
      <c r="AB139" s="14">
        <f>IFERROR(AA139/X139,"")</f>
        <v/>
      </c>
      <c r="AC139" s="10">
        <f>IF(AA139="","",IF(AA139&gt;0,1,0))</f>
        <v/>
      </c>
      <c r="AD139" s="12">
        <f>AD138+IF(AA139="",0,AA139)</f>
        <v/>
      </c>
      <c r="AE139" s="12">
        <f>MAX(AE138,AD139)</f>
        <v/>
      </c>
      <c r="AF139" s="12">
        <f>AE139-AD139</f>
        <v/>
      </c>
      <c r="AG139" s="10" t="n"/>
    </row>
    <row r="140">
      <c r="A140" s="10">
        <f>ROW()-2</f>
        <v/>
      </c>
      <c r="B140" s="10" t="n"/>
      <c r="C140" s="10" t="n"/>
      <c r="D140" s="10" t="n"/>
      <c r="E140" s="10" t="n"/>
      <c r="F140" s="10" t="n"/>
      <c r="G140" s="10" t="n"/>
      <c r="H140" s="10" t="n"/>
      <c r="I140" s="13">
        <f>IFERROR(ABS(H140-G140),"")</f>
        <v/>
      </c>
      <c r="J140" s="10" t="n"/>
      <c r="K140" s="10" t="n"/>
      <c r="L140" s="10">
        <f>IF(K140="","",IF(K140&gt;=Dashboard!$B$11,"A+","B-"))</f>
        <v/>
      </c>
      <c r="M140" s="10" t="n"/>
      <c r="N140" s="10" t="n"/>
      <c r="O140" s="10">
        <f>IF(OR(N140="",F140=""),"",IF(OR(AND(F140="Up",N140="Long"),AND(F140="Down",N140="Short")),"OK","CHECK"))</f>
        <v/>
      </c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2">
        <f>IFERROR(ABS(Q140-R140)/Dashboard!$B$9*Dashboard!$B$10*W140,"")</f>
        <v/>
      </c>
      <c r="Y140" s="13">
        <f>IFERROR(IF(N140="Long",U140-Q140,IF(N140="Short",Q140-U140,"")),"")</f>
        <v/>
      </c>
      <c r="Z140" s="13">
        <f>IFERROR(Y140/Dashboard!$B$9,"")</f>
        <v/>
      </c>
      <c r="AA140" s="12">
        <f>IFERROR(Z140*Dashboard!$B$10*W140,"")</f>
        <v/>
      </c>
      <c r="AB140" s="14">
        <f>IFERROR(AA140/X140,"")</f>
        <v/>
      </c>
      <c r="AC140" s="10">
        <f>IF(AA140="","",IF(AA140&gt;0,1,0))</f>
        <v/>
      </c>
      <c r="AD140" s="12">
        <f>AD139+IF(AA140="",0,AA140)</f>
        <v/>
      </c>
      <c r="AE140" s="12">
        <f>MAX(AE139,AD140)</f>
        <v/>
      </c>
      <c r="AF140" s="12">
        <f>AE140-AD140</f>
        <v/>
      </c>
      <c r="AG140" s="10" t="n"/>
    </row>
    <row r="141">
      <c r="A141" s="10">
        <f>ROW()-2</f>
        <v/>
      </c>
      <c r="B141" s="10" t="n"/>
      <c r="C141" s="10" t="n"/>
      <c r="D141" s="10" t="n"/>
      <c r="E141" s="10" t="n"/>
      <c r="F141" s="10" t="n"/>
      <c r="G141" s="10" t="n"/>
      <c r="H141" s="10" t="n"/>
      <c r="I141" s="13">
        <f>IFERROR(ABS(H141-G141),"")</f>
        <v/>
      </c>
      <c r="J141" s="10" t="n"/>
      <c r="K141" s="10" t="n"/>
      <c r="L141" s="10">
        <f>IF(K141="","",IF(K141&gt;=Dashboard!$B$11,"A+","B-"))</f>
        <v/>
      </c>
      <c r="M141" s="10" t="n"/>
      <c r="N141" s="10" t="n"/>
      <c r="O141" s="10">
        <f>IF(OR(N141="",F141=""),"",IF(OR(AND(F141="Up",N141="Long"),AND(F141="Down",N141="Short")),"OK","CHECK"))</f>
        <v/>
      </c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2">
        <f>IFERROR(ABS(Q141-R141)/Dashboard!$B$9*Dashboard!$B$10*W141,"")</f>
        <v/>
      </c>
      <c r="Y141" s="13">
        <f>IFERROR(IF(N141="Long",U141-Q141,IF(N141="Short",Q141-U141,"")),"")</f>
        <v/>
      </c>
      <c r="Z141" s="13">
        <f>IFERROR(Y141/Dashboard!$B$9,"")</f>
        <v/>
      </c>
      <c r="AA141" s="12">
        <f>IFERROR(Z141*Dashboard!$B$10*W141,"")</f>
        <v/>
      </c>
      <c r="AB141" s="14">
        <f>IFERROR(AA141/X141,"")</f>
        <v/>
      </c>
      <c r="AC141" s="10">
        <f>IF(AA141="","",IF(AA141&gt;0,1,0))</f>
        <v/>
      </c>
      <c r="AD141" s="12">
        <f>AD140+IF(AA141="",0,AA141)</f>
        <v/>
      </c>
      <c r="AE141" s="12">
        <f>MAX(AE140,AD141)</f>
        <v/>
      </c>
      <c r="AF141" s="12">
        <f>AE141-AD141</f>
        <v/>
      </c>
      <c r="AG141" s="10" t="n"/>
    </row>
    <row r="142">
      <c r="A142" s="10">
        <f>ROW()-2</f>
        <v/>
      </c>
      <c r="B142" s="10" t="n"/>
      <c r="C142" s="10" t="n"/>
      <c r="D142" s="10" t="n"/>
      <c r="E142" s="10" t="n"/>
      <c r="F142" s="10" t="n"/>
      <c r="G142" s="10" t="n"/>
      <c r="H142" s="10" t="n"/>
      <c r="I142" s="13">
        <f>IFERROR(ABS(H142-G142),"")</f>
        <v/>
      </c>
      <c r="J142" s="10" t="n"/>
      <c r="K142" s="10" t="n"/>
      <c r="L142" s="10">
        <f>IF(K142="","",IF(K142&gt;=Dashboard!$B$11,"A+","B-"))</f>
        <v/>
      </c>
      <c r="M142" s="10" t="n"/>
      <c r="N142" s="10" t="n"/>
      <c r="O142" s="10">
        <f>IF(OR(N142="",F142=""),"",IF(OR(AND(F142="Up",N142="Long"),AND(F142="Down",N142="Short")),"OK","CHECK"))</f>
        <v/>
      </c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2">
        <f>IFERROR(ABS(Q142-R142)/Dashboard!$B$9*Dashboard!$B$10*W142,"")</f>
        <v/>
      </c>
      <c r="Y142" s="13">
        <f>IFERROR(IF(N142="Long",U142-Q142,IF(N142="Short",Q142-U142,"")),"")</f>
        <v/>
      </c>
      <c r="Z142" s="13">
        <f>IFERROR(Y142/Dashboard!$B$9,"")</f>
        <v/>
      </c>
      <c r="AA142" s="12">
        <f>IFERROR(Z142*Dashboard!$B$10*W142,"")</f>
        <v/>
      </c>
      <c r="AB142" s="14">
        <f>IFERROR(AA142/X142,"")</f>
        <v/>
      </c>
      <c r="AC142" s="10">
        <f>IF(AA142="","",IF(AA142&gt;0,1,0))</f>
        <v/>
      </c>
      <c r="AD142" s="12">
        <f>AD141+IF(AA142="",0,AA142)</f>
        <v/>
      </c>
      <c r="AE142" s="12">
        <f>MAX(AE141,AD142)</f>
        <v/>
      </c>
      <c r="AF142" s="12">
        <f>AE142-AD142</f>
        <v/>
      </c>
      <c r="AG142" s="10" t="n"/>
    </row>
    <row r="143">
      <c r="A143" s="10">
        <f>ROW()-2</f>
        <v/>
      </c>
      <c r="B143" s="10" t="n"/>
      <c r="C143" s="10" t="n"/>
      <c r="D143" s="10" t="n"/>
      <c r="E143" s="10" t="n"/>
      <c r="F143" s="10" t="n"/>
      <c r="G143" s="10" t="n"/>
      <c r="H143" s="10" t="n"/>
      <c r="I143" s="13">
        <f>IFERROR(ABS(H143-G143),"")</f>
        <v/>
      </c>
      <c r="J143" s="10" t="n"/>
      <c r="K143" s="10" t="n"/>
      <c r="L143" s="10">
        <f>IF(K143="","",IF(K143&gt;=Dashboard!$B$11,"A+","B-"))</f>
        <v/>
      </c>
      <c r="M143" s="10" t="n"/>
      <c r="N143" s="10" t="n"/>
      <c r="O143" s="10">
        <f>IF(OR(N143="",F143=""),"",IF(OR(AND(F143="Up",N143="Long"),AND(F143="Down",N143="Short")),"OK","CHECK"))</f>
        <v/>
      </c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2">
        <f>IFERROR(ABS(Q143-R143)/Dashboard!$B$9*Dashboard!$B$10*W143,"")</f>
        <v/>
      </c>
      <c r="Y143" s="13">
        <f>IFERROR(IF(N143="Long",U143-Q143,IF(N143="Short",Q143-U143,"")),"")</f>
        <v/>
      </c>
      <c r="Z143" s="13">
        <f>IFERROR(Y143/Dashboard!$B$9,"")</f>
        <v/>
      </c>
      <c r="AA143" s="12">
        <f>IFERROR(Z143*Dashboard!$B$10*W143,"")</f>
        <v/>
      </c>
      <c r="AB143" s="14">
        <f>IFERROR(AA143/X143,"")</f>
        <v/>
      </c>
      <c r="AC143" s="10">
        <f>IF(AA143="","",IF(AA143&gt;0,1,0))</f>
        <v/>
      </c>
      <c r="AD143" s="12">
        <f>AD142+IF(AA143="",0,AA143)</f>
        <v/>
      </c>
      <c r="AE143" s="12">
        <f>MAX(AE142,AD143)</f>
        <v/>
      </c>
      <c r="AF143" s="12">
        <f>AE143-AD143</f>
        <v/>
      </c>
      <c r="AG143" s="10" t="n"/>
    </row>
    <row r="144">
      <c r="A144" s="10">
        <f>ROW()-2</f>
        <v/>
      </c>
      <c r="B144" s="10" t="n"/>
      <c r="C144" s="10" t="n"/>
      <c r="D144" s="10" t="n"/>
      <c r="E144" s="10" t="n"/>
      <c r="F144" s="10" t="n"/>
      <c r="G144" s="10" t="n"/>
      <c r="H144" s="10" t="n"/>
      <c r="I144" s="13">
        <f>IFERROR(ABS(H144-G144),"")</f>
        <v/>
      </c>
      <c r="J144" s="10" t="n"/>
      <c r="K144" s="10" t="n"/>
      <c r="L144" s="10">
        <f>IF(K144="","",IF(K144&gt;=Dashboard!$B$11,"A+","B-"))</f>
        <v/>
      </c>
      <c r="M144" s="10" t="n"/>
      <c r="N144" s="10" t="n"/>
      <c r="O144" s="10">
        <f>IF(OR(N144="",F144=""),"",IF(OR(AND(F144="Up",N144="Long"),AND(F144="Down",N144="Short")),"OK","CHECK"))</f>
        <v/>
      </c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2">
        <f>IFERROR(ABS(Q144-R144)/Dashboard!$B$9*Dashboard!$B$10*W144,"")</f>
        <v/>
      </c>
      <c r="Y144" s="13">
        <f>IFERROR(IF(N144="Long",U144-Q144,IF(N144="Short",Q144-U144,"")),"")</f>
        <v/>
      </c>
      <c r="Z144" s="13">
        <f>IFERROR(Y144/Dashboard!$B$9,"")</f>
        <v/>
      </c>
      <c r="AA144" s="12">
        <f>IFERROR(Z144*Dashboard!$B$10*W144,"")</f>
        <v/>
      </c>
      <c r="AB144" s="14">
        <f>IFERROR(AA144/X144,"")</f>
        <v/>
      </c>
      <c r="AC144" s="10">
        <f>IF(AA144="","",IF(AA144&gt;0,1,0))</f>
        <v/>
      </c>
      <c r="AD144" s="12">
        <f>AD143+IF(AA144="",0,AA144)</f>
        <v/>
      </c>
      <c r="AE144" s="12">
        <f>MAX(AE143,AD144)</f>
        <v/>
      </c>
      <c r="AF144" s="12">
        <f>AE144-AD144</f>
        <v/>
      </c>
      <c r="AG144" s="10" t="n"/>
    </row>
    <row r="145">
      <c r="A145" s="10">
        <f>ROW()-2</f>
        <v/>
      </c>
      <c r="B145" s="10" t="n"/>
      <c r="C145" s="10" t="n"/>
      <c r="D145" s="10" t="n"/>
      <c r="E145" s="10" t="n"/>
      <c r="F145" s="10" t="n"/>
      <c r="G145" s="10" t="n"/>
      <c r="H145" s="10" t="n"/>
      <c r="I145" s="13">
        <f>IFERROR(ABS(H145-G145),"")</f>
        <v/>
      </c>
      <c r="J145" s="10" t="n"/>
      <c r="K145" s="10" t="n"/>
      <c r="L145" s="10">
        <f>IF(K145="","",IF(K145&gt;=Dashboard!$B$11,"A+","B-"))</f>
        <v/>
      </c>
      <c r="M145" s="10" t="n"/>
      <c r="N145" s="10" t="n"/>
      <c r="O145" s="10">
        <f>IF(OR(N145="",F145=""),"",IF(OR(AND(F145="Up",N145="Long"),AND(F145="Down",N145="Short")),"OK","CHECK"))</f>
        <v/>
      </c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2">
        <f>IFERROR(ABS(Q145-R145)/Dashboard!$B$9*Dashboard!$B$10*W145,"")</f>
        <v/>
      </c>
      <c r="Y145" s="13">
        <f>IFERROR(IF(N145="Long",U145-Q145,IF(N145="Short",Q145-U145,"")),"")</f>
        <v/>
      </c>
      <c r="Z145" s="13">
        <f>IFERROR(Y145/Dashboard!$B$9,"")</f>
        <v/>
      </c>
      <c r="AA145" s="12">
        <f>IFERROR(Z145*Dashboard!$B$10*W145,"")</f>
        <v/>
      </c>
      <c r="AB145" s="14">
        <f>IFERROR(AA145/X145,"")</f>
        <v/>
      </c>
      <c r="AC145" s="10">
        <f>IF(AA145="","",IF(AA145&gt;0,1,0))</f>
        <v/>
      </c>
      <c r="AD145" s="12">
        <f>AD144+IF(AA145="",0,AA145)</f>
        <v/>
      </c>
      <c r="AE145" s="12">
        <f>MAX(AE144,AD145)</f>
        <v/>
      </c>
      <c r="AF145" s="12">
        <f>AE145-AD145</f>
        <v/>
      </c>
      <c r="AG145" s="10" t="n"/>
    </row>
    <row r="146">
      <c r="A146" s="10">
        <f>ROW()-2</f>
        <v/>
      </c>
      <c r="B146" s="10" t="n"/>
      <c r="C146" s="10" t="n"/>
      <c r="D146" s="10" t="n"/>
      <c r="E146" s="10" t="n"/>
      <c r="F146" s="10" t="n"/>
      <c r="G146" s="10" t="n"/>
      <c r="H146" s="10" t="n"/>
      <c r="I146" s="13">
        <f>IFERROR(ABS(H146-G146),"")</f>
        <v/>
      </c>
      <c r="J146" s="10" t="n"/>
      <c r="K146" s="10" t="n"/>
      <c r="L146" s="10">
        <f>IF(K146="","",IF(K146&gt;=Dashboard!$B$11,"A+","B-"))</f>
        <v/>
      </c>
      <c r="M146" s="10" t="n"/>
      <c r="N146" s="10" t="n"/>
      <c r="O146" s="10">
        <f>IF(OR(N146="",F146=""),"",IF(OR(AND(F146="Up",N146="Long"),AND(F146="Down",N146="Short")),"OK","CHECK"))</f>
        <v/>
      </c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2">
        <f>IFERROR(ABS(Q146-R146)/Dashboard!$B$9*Dashboard!$B$10*W146,"")</f>
        <v/>
      </c>
      <c r="Y146" s="13">
        <f>IFERROR(IF(N146="Long",U146-Q146,IF(N146="Short",Q146-U146,"")),"")</f>
        <v/>
      </c>
      <c r="Z146" s="13">
        <f>IFERROR(Y146/Dashboard!$B$9,"")</f>
        <v/>
      </c>
      <c r="AA146" s="12">
        <f>IFERROR(Z146*Dashboard!$B$10*W146,"")</f>
        <v/>
      </c>
      <c r="AB146" s="14">
        <f>IFERROR(AA146/X146,"")</f>
        <v/>
      </c>
      <c r="AC146" s="10">
        <f>IF(AA146="","",IF(AA146&gt;0,1,0))</f>
        <v/>
      </c>
      <c r="AD146" s="12">
        <f>AD145+IF(AA146="",0,AA146)</f>
        <v/>
      </c>
      <c r="AE146" s="12">
        <f>MAX(AE145,AD146)</f>
        <v/>
      </c>
      <c r="AF146" s="12">
        <f>AE146-AD146</f>
        <v/>
      </c>
      <c r="AG146" s="10" t="n"/>
    </row>
    <row r="147">
      <c r="A147" s="10">
        <f>ROW()-2</f>
        <v/>
      </c>
      <c r="B147" s="10" t="n"/>
      <c r="C147" s="10" t="n"/>
      <c r="D147" s="10" t="n"/>
      <c r="E147" s="10" t="n"/>
      <c r="F147" s="10" t="n"/>
      <c r="G147" s="10" t="n"/>
      <c r="H147" s="10" t="n"/>
      <c r="I147" s="13">
        <f>IFERROR(ABS(H147-G147),"")</f>
        <v/>
      </c>
      <c r="J147" s="10" t="n"/>
      <c r="K147" s="10" t="n"/>
      <c r="L147" s="10">
        <f>IF(K147="","",IF(K147&gt;=Dashboard!$B$11,"A+","B-"))</f>
        <v/>
      </c>
      <c r="M147" s="10" t="n"/>
      <c r="N147" s="10" t="n"/>
      <c r="O147" s="10">
        <f>IF(OR(N147="",F147=""),"",IF(OR(AND(F147="Up",N147="Long"),AND(F147="Down",N147="Short")),"OK","CHECK"))</f>
        <v/>
      </c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2">
        <f>IFERROR(ABS(Q147-R147)/Dashboard!$B$9*Dashboard!$B$10*W147,"")</f>
        <v/>
      </c>
      <c r="Y147" s="13">
        <f>IFERROR(IF(N147="Long",U147-Q147,IF(N147="Short",Q147-U147,"")),"")</f>
        <v/>
      </c>
      <c r="Z147" s="13">
        <f>IFERROR(Y147/Dashboard!$B$9,"")</f>
        <v/>
      </c>
      <c r="AA147" s="12">
        <f>IFERROR(Z147*Dashboard!$B$10*W147,"")</f>
        <v/>
      </c>
      <c r="AB147" s="14">
        <f>IFERROR(AA147/X147,"")</f>
        <v/>
      </c>
      <c r="AC147" s="10">
        <f>IF(AA147="","",IF(AA147&gt;0,1,0))</f>
        <v/>
      </c>
      <c r="AD147" s="12">
        <f>AD146+IF(AA147="",0,AA147)</f>
        <v/>
      </c>
      <c r="AE147" s="12">
        <f>MAX(AE146,AD147)</f>
        <v/>
      </c>
      <c r="AF147" s="12">
        <f>AE147-AD147</f>
        <v/>
      </c>
      <c r="AG147" s="10" t="n"/>
    </row>
    <row r="148">
      <c r="A148" s="10">
        <f>ROW()-2</f>
        <v/>
      </c>
      <c r="B148" s="10" t="n"/>
      <c r="C148" s="10" t="n"/>
      <c r="D148" s="10" t="n"/>
      <c r="E148" s="10" t="n"/>
      <c r="F148" s="10" t="n"/>
      <c r="G148" s="10" t="n"/>
      <c r="H148" s="10" t="n"/>
      <c r="I148" s="13">
        <f>IFERROR(ABS(H148-G148),"")</f>
        <v/>
      </c>
      <c r="J148" s="10" t="n"/>
      <c r="K148" s="10" t="n"/>
      <c r="L148" s="10">
        <f>IF(K148="","",IF(K148&gt;=Dashboard!$B$11,"A+","B-"))</f>
        <v/>
      </c>
      <c r="M148" s="10" t="n"/>
      <c r="N148" s="10" t="n"/>
      <c r="O148" s="10">
        <f>IF(OR(N148="",F148=""),"",IF(OR(AND(F148="Up",N148="Long"),AND(F148="Down",N148="Short")),"OK","CHECK"))</f>
        <v/>
      </c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2">
        <f>IFERROR(ABS(Q148-R148)/Dashboard!$B$9*Dashboard!$B$10*W148,"")</f>
        <v/>
      </c>
      <c r="Y148" s="13">
        <f>IFERROR(IF(N148="Long",U148-Q148,IF(N148="Short",Q148-U148,"")),"")</f>
        <v/>
      </c>
      <c r="Z148" s="13">
        <f>IFERROR(Y148/Dashboard!$B$9,"")</f>
        <v/>
      </c>
      <c r="AA148" s="12">
        <f>IFERROR(Z148*Dashboard!$B$10*W148,"")</f>
        <v/>
      </c>
      <c r="AB148" s="14">
        <f>IFERROR(AA148/X148,"")</f>
        <v/>
      </c>
      <c r="AC148" s="10">
        <f>IF(AA148="","",IF(AA148&gt;0,1,0))</f>
        <v/>
      </c>
      <c r="AD148" s="12">
        <f>AD147+IF(AA148="",0,AA148)</f>
        <v/>
      </c>
      <c r="AE148" s="12">
        <f>MAX(AE147,AD148)</f>
        <v/>
      </c>
      <c r="AF148" s="12">
        <f>AE148-AD148</f>
        <v/>
      </c>
      <c r="AG148" s="10" t="n"/>
    </row>
    <row r="149">
      <c r="A149" s="10">
        <f>ROW()-2</f>
        <v/>
      </c>
      <c r="B149" s="10" t="n"/>
      <c r="C149" s="10" t="n"/>
      <c r="D149" s="10" t="n"/>
      <c r="E149" s="10" t="n"/>
      <c r="F149" s="10" t="n"/>
      <c r="G149" s="10" t="n"/>
      <c r="H149" s="10" t="n"/>
      <c r="I149" s="13">
        <f>IFERROR(ABS(H149-G149),"")</f>
        <v/>
      </c>
      <c r="J149" s="10" t="n"/>
      <c r="K149" s="10" t="n"/>
      <c r="L149" s="10">
        <f>IF(K149="","",IF(K149&gt;=Dashboard!$B$11,"A+","B-"))</f>
        <v/>
      </c>
      <c r="M149" s="10" t="n"/>
      <c r="N149" s="10" t="n"/>
      <c r="O149" s="10">
        <f>IF(OR(N149="",F149=""),"",IF(OR(AND(F149="Up",N149="Long"),AND(F149="Down",N149="Short")),"OK","CHECK"))</f>
        <v/>
      </c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2">
        <f>IFERROR(ABS(Q149-R149)/Dashboard!$B$9*Dashboard!$B$10*W149,"")</f>
        <v/>
      </c>
      <c r="Y149" s="13">
        <f>IFERROR(IF(N149="Long",U149-Q149,IF(N149="Short",Q149-U149,"")),"")</f>
        <v/>
      </c>
      <c r="Z149" s="13">
        <f>IFERROR(Y149/Dashboard!$B$9,"")</f>
        <v/>
      </c>
      <c r="AA149" s="12">
        <f>IFERROR(Z149*Dashboard!$B$10*W149,"")</f>
        <v/>
      </c>
      <c r="AB149" s="14">
        <f>IFERROR(AA149/X149,"")</f>
        <v/>
      </c>
      <c r="AC149" s="10">
        <f>IF(AA149="","",IF(AA149&gt;0,1,0))</f>
        <v/>
      </c>
      <c r="AD149" s="12">
        <f>AD148+IF(AA149="",0,AA149)</f>
        <v/>
      </c>
      <c r="AE149" s="12">
        <f>MAX(AE148,AD149)</f>
        <v/>
      </c>
      <c r="AF149" s="12">
        <f>AE149-AD149</f>
        <v/>
      </c>
      <c r="AG149" s="10" t="n"/>
    </row>
    <row r="150">
      <c r="A150" s="10">
        <f>ROW()-2</f>
        <v/>
      </c>
      <c r="B150" s="10" t="n"/>
      <c r="C150" s="10" t="n"/>
      <c r="D150" s="10" t="n"/>
      <c r="E150" s="10" t="n"/>
      <c r="F150" s="10" t="n"/>
      <c r="G150" s="10" t="n"/>
      <c r="H150" s="10" t="n"/>
      <c r="I150" s="13">
        <f>IFERROR(ABS(H150-G150),"")</f>
        <v/>
      </c>
      <c r="J150" s="10" t="n"/>
      <c r="K150" s="10" t="n"/>
      <c r="L150" s="10">
        <f>IF(K150="","",IF(K150&gt;=Dashboard!$B$11,"A+","B-"))</f>
        <v/>
      </c>
      <c r="M150" s="10" t="n"/>
      <c r="N150" s="10" t="n"/>
      <c r="O150" s="10">
        <f>IF(OR(N150="",F150=""),"",IF(OR(AND(F150="Up",N150="Long"),AND(F150="Down",N150="Short")),"OK","CHECK"))</f>
        <v/>
      </c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2">
        <f>IFERROR(ABS(Q150-R150)/Dashboard!$B$9*Dashboard!$B$10*W150,"")</f>
        <v/>
      </c>
      <c r="Y150" s="13">
        <f>IFERROR(IF(N150="Long",U150-Q150,IF(N150="Short",Q150-U150,"")),"")</f>
        <v/>
      </c>
      <c r="Z150" s="13">
        <f>IFERROR(Y150/Dashboard!$B$9,"")</f>
        <v/>
      </c>
      <c r="AA150" s="12">
        <f>IFERROR(Z150*Dashboard!$B$10*W150,"")</f>
        <v/>
      </c>
      <c r="AB150" s="14">
        <f>IFERROR(AA150/X150,"")</f>
        <v/>
      </c>
      <c r="AC150" s="10">
        <f>IF(AA150="","",IF(AA150&gt;0,1,0))</f>
        <v/>
      </c>
      <c r="AD150" s="12">
        <f>AD149+IF(AA150="",0,AA150)</f>
        <v/>
      </c>
      <c r="AE150" s="12">
        <f>MAX(AE149,AD150)</f>
        <v/>
      </c>
      <c r="AF150" s="12">
        <f>AE150-AD150</f>
        <v/>
      </c>
      <c r="AG150" s="10" t="n"/>
    </row>
    <row r="151">
      <c r="A151" s="10">
        <f>ROW()-2</f>
        <v/>
      </c>
      <c r="B151" s="10" t="n"/>
      <c r="C151" s="10" t="n"/>
      <c r="D151" s="10" t="n"/>
      <c r="E151" s="10" t="n"/>
      <c r="F151" s="10" t="n"/>
      <c r="G151" s="10" t="n"/>
      <c r="H151" s="10" t="n"/>
      <c r="I151" s="13">
        <f>IFERROR(ABS(H151-G151),"")</f>
        <v/>
      </c>
      <c r="J151" s="10" t="n"/>
      <c r="K151" s="10" t="n"/>
      <c r="L151" s="10">
        <f>IF(K151="","",IF(K151&gt;=Dashboard!$B$11,"A+","B-"))</f>
        <v/>
      </c>
      <c r="M151" s="10" t="n"/>
      <c r="N151" s="10" t="n"/>
      <c r="O151" s="10">
        <f>IF(OR(N151="",F151=""),"",IF(OR(AND(F151="Up",N151="Long"),AND(F151="Down",N151="Short")),"OK","CHECK"))</f>
        <v/>
      </c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2">
        <f>IFERROR(ABS(Q151-R151)/Dashboard!$B$9*Dashboard!$B$10*W151,"")</f>
        <v/>
      </c>
      <c r="Y151" s="13">
        <f>IFERROR(IF(N151="Long",U151-Q151,IF(N151="Short",Q151-U151,"")),"")</f>
        <v/>
      </c>
      <c r="Z151" s="13">
        <f>IFERROR(Y151/Dashboard!$B$9,"")</f>
        <v/>
      </c>
      <c r="AA151" s="12">
        <f>IFERROR(Z151*Dashboard!$B$10*W151,"")</f>
        <v/>
      </c>
      <c r="AB151" s="14">
        <f>IFERROR(AA151/X151,"")</f>
        <v/>
      </c>
      <c r="AC151" s="10">
        <f>IF(AA151="","",IF(AA151&gt;0,1,0))</f>
        <v/>
      </c>
      <c r="AD151" s="12">
        <f>AD150+IF(AA151="",0,AA151)</f>
        <v/>
      </c>
      <c r="AE151" s="12">
        <f>MAX(AE150,AD151)</f>
        <v/>
      </c>
      <c r="AF151" s="12">
        <f>AE151-AD151</f>
        <v/>
      </c>
      <c r="AG151" s="10" t="n"/>
    </row>
    <row r="152">
      <c r="A152" s="10">
        <f>ROW()-2</f>
        <v/>
      </c>
      <c r="B152" s="10" t="n"/>
      <c r="C152" s="10" t="n"/>
      <c r="D152" s="10" t="n"/>
      <c r="E152" s="10" t="n"/>
      <c r="F152" s="10" t="n"/>
      <c r="G152" s="10" t="n"/>
      <c r="H152" s="10" t="n"/>
      <c r="I152" s="13">
        <f>IFERROR(ABS(H152-G152),"")</f>
        <v/>
      </c>
      <c r="J152" s="10" t="n"/>
      <c r="K152" s="10" t="n"/>
      <c r="L152" s="10">
        <f>IF(K152="","",IF(K152&gt;=Dashboard!$B$11,"A+","B-"))</f>
        <v/>
      </c>
      <c r="M152" s="10" t="n"/>
      <c r="N152" s="10" t="n"/>
      <c r="O152" s="10">
        <f>IF(OR(N152="",F152=""),"",IF(OR(AND(F152="Up",N152="Long"),AND(F152="Down",N152="Short")),"OK","CHECK"))</f>
        <v/>
      </c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2">
        <f>IFERROR(ABS(Q152-R152)/Dashboard!$B$9*Dashboard!$B$10*W152,"")</f>
        <v/>
      </c>
      <c r="Y152" s="13">
        <f>IFERROR(IF(N152="Long",U152-Q152,IF(N152="Short",Q152-U152,"")),"")</f>
        <v/>
      </c>
      <c r="Z152" s="13">
        <f>IFERROR(Y152/Dashboard!$B$9,"")</f>
        <v/>
      </c>
      <c r="AA152" s="12">
        <f>IFERROR(Z152*Dashboard!$B$10*W152,"")</f>
        <v/>
      </c>
      <c r="AB152" s="14">
        <f>IFERROR(AA152/X152,"")</f>
        <v/>
      </c>
      <c r="AC152" s="10">
        <f>IF(AA152="","",IF(AA152&gt;0,1,0))</f>
        <v/>
      </c>
      <c r="AD152" s="12">
        <f>AD151+IF(AA152="",0,AA152)</f>
        <v/>
      </c>
      <c r="AE152" s="12">
        <f>MAX(AE151,AD152)</f>
        <v/>
      </c>
      <c r="AF152" s="12">
        <f>AE152-AD152</f>
        <v/>
      </c>
      <c r="AG152" s="10" t="n"/>
    </row>
  </sheetData>
  <dataValidations count="7">
    <dataValidation sqref="C3:C152" showDropDown="0" showInputMessage="0" showErrorMessage="0" allowBlank="1" type="list">
      <formula1>"Asia,NY"</formula1>
    </dataValidation>
    <dataValidation sqref="D3:D152" showDropDown="0" showInputMessage="0" showErrorMessage="0" allowBlank="1" type="list">
      <formula1>"Up,Down"</formula1>
    </dataValidation>
    <dataValidation sqref="E3:E152" showDropDown="0" showInputMessage="0" showErrorMessage="0" allowBlank="1" type="list">
      <formula1>"Ranging,Trending"</formula1>
    </dataValidation>
    <dataValidation sqref="F3:F152" showDropDown="0" showInputMessage="0" showErrorMessage="0" allowBlank="1" type="list">
      <formula1>"Up,Down"</formula1>
    </dataValidation>
    <dataValidation sqref="K3:K152" showDropDown="0" showInputMessage="0" showErrorMessage="0" allowBlank="1" type="list">
      <formula1>"2,2.25,2.5,4,4.5"</formula1>
    </dataValidation>
    <dataValidation sqref="N3:N152" showDropDown="0" showInputMessage="0" showErrorMessage="0" allowBlank="1" type="list">
      <formula1>"Long,Short"</formula1>
    </dataValidation>
    <dataValidation sqref="V3:V152" showDropDown="0" showInputMessage="0" showErrorMessage="0" allowBlank="1" type="list">
      <formula1>"Stop,Target,Timeout,Manual"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</cols>
  <sheetData>
    <row r="1" ht="32" customHeight="1">
      <c r="A1" s="16" t="inlineStr">
        <is>
          <t>Date (enter manually)</t>
        </is>
      </c>
      <c r="B1" s="16" t="inlineStr">
        <is>
          <t>Trades</t>
        </is>
      </c>
      <c r="C1" s="16" t="inlineStr">
        <is>
          <t>Wins</t>
        </is>
      </c>
      <c r="D1" s="16" t="inlineStr">
        <is>
          <t>Losses</t>
        </is>
      </c>
      <c r="E1" s="16" t="inlineStr">
        <is>
          <t>Daily PnL ($)</t>
        </is>
      </c>
      <c r="F1" s="16" t="inlineStr">
        <is>
          <t>Daily PnL (% of Start Bal)</t>
        </is>
      </c>
      <c r="G1" s="16" t="inlineStr">
        <is>
          <t>Cumulative Equity, EOD ($)</t>
        </is>
      </c>
      <c r="H1" s="16" t="inlineStr">
        <is>
          <t>HWM, capped at Lock Point ($)</t>
        </is>
      </c>
      <c r="I1" s="16" t="inlineStr">
        <is>
          <t>MLL Floor ($)</t>
        </is>
      </c>
      <c r="J1" s="16" t="inlineStr">
        <is>
          <t>Cushion to Floor ($)</t>
        </is>
      </c>
      <c r="K1" s="16" t="inlineStr">
        <is>
          <t>Breach?</t>
        </is>
      </c>
    </row>
    <row r="2">
      <c r="A2" s="18" t="n"/>
      <c r="B2" s="10">
        <f>IF($A2="","",COUNTIFS('Trade Log'!$B$3:$B$152,$A2))</f>
        <v/>
      </c>
      <c r="C2" s="10">
        <f>IF($A2="","",COUNTIFS('Trade Log'!$B$3:$B$152,$A2,'Trade Log'!$AC$3:$AC$152,1))</f>
        <v/>
      </c>
      <c r="D2" s="10">
        <f>IF($A2="","",COUNTIFS('Trade Log'!$B$3:$B$152,$A2,'Trade Log'!$AC$3:$AC$152,0))</f>
        <v/>
      </c>
      <c r="E2" s="12">
        <f>IF($A2="","",SUMIFS('Trade Log'!$AA$3:$AA$152,'Trade Log'!$B$3:$B$152,$A2))</f>
        <v/>
      </c>
      <c r="F2" s="11">
        <f>IFERROR(E2/Dashboard!$B$4,"")</f>
        <v/>
      </c>
      <c r="G2" s="12">
        <f>IF($A2="","",Dashboard!$B$4+SUMIFS('Trade Log'!$AA$3:$AA$152,'Trade Log'!$B$3:$B$152,"&lt;="&amp;$A2))</f>
        <v/>
      </c>
      <c r="H2" s="12">
        <f>IF($A2="","",MIN(Dashboard!$B$7,MAX(Dashboard!$B$4,G2)))</f>
        <v/>
      </c>
      <c r="I2" s="12">
        <f>IF($A2="","",H2-Dashboard!$B$5)</f>
        <v/>
      </c>
      <c r="J2" s="12">
        <f>IF($A2="","",G2-I2)</f>
        <v/>
      </c>
      <c r="K2" s="10">
        <f>IF($A2="","",IF(G2&lt;I2,"BREACH","ok"))</f>
        <v/>
      </c>
    </row>
    <row r="3">
      <c r="A3" s="18" t="n"/>
      <c r="B3" s="10">
        <f>IF($A3="","",COUNTIFS('Trade Log'!$B$3:$B$152,$A3))</f>
        <v/>
      </c>
      <c r="C3" s="10">
        <f>IF($A3="","",COUNTIFS('Trade Log'!$B$3:$B$152,$A3,'Trade Log'!$AC$3:$AC$152,1))</f>
        <v/>
      </c>
      <c r="D3" s="10">
        <f>IF($A3="","",COUNTIFS('Trade Log'!$B$3:$B$152,$A3,'Trade Log'!$AC$3:$AC$152,0))</f>
        <v/>
      </c>
      <c r="E3" s="12">
        <f>IF($A3="","",SUMIFS('Trade Log'!$AA$3:$AA$152,'Trade Log'!$B$3:$B$152,$A3))</f>
        <v/>
      </c>
      <c r="F3" s="11">
        <f>IFERROR(E3/Dashboard!$B$4,"")</f>
        <v/>
      </c>
      <c r="G3" s="12">
        <f>IF($A3="","",Dashboard!$B$4+SUMIFS('Trade Log'!$AA$3:$AA$152,'Trade Log'!$B$3:$B$152,"&lt;="&amp;$A3))</f>
        <v/>
      </c>
      <c r="H3" s="12">
        <f>IF($A3="","",MIN(Dashboard!$B$7,MAX(IF(H2="",Dashboard!$B$4,H2),G3)))</f>
        <v/>
      </c>
      <c r="I3" s="12">
        <f>IF($A3="","",H3-Dashboard!$B$5)</f>
        <v/>
      </c>
      <c r="J3" s="12">
        <f>IF($A3="","",G3-I3)</f>
        <v/>
      </c>
      <c r="K3" s="10">
        <f>IF($A3="","",IF(G3&lt;I3,"BREACH","ok"))</f>
        <v/>
      </c>
    </row>
    <row r="4">
      <c r="A4" s="18" t="n"/>
      <c r="B4" s="10">
        <f>IF($A4="","",COUNTIFS('Trade Log'!$B$3:$B$152,$A4))</f>
        <v/>
      </c>
      <c r="C4" s="10">
        <f>IF($A4="","",COUNTIFS('Trade Log'!$B$3:$B$152,$A4,'Trade Log'!$AC$3:$AC$152,1))</f>
        <v/>
      </c>
      <c r="D4" s="10">
        <f>IF($A4="","",COUNTIFS('Trade Log'!$B$3:$B$152,$A4,'Trade Log'!$AC$3:$AC$152,0))</f>
        <v/>
      </c>
      <c r="E4" s="12">
        <f>IF($A4="","",SUMIFS('Trade Log'!$AA$3:$AA$152,'Trade Log'!$B$3:$B$152,$A4))</f>
        <v/>
      </c>
      <c r="F4" s="11">
        <f>IFERROR(E4/Dashboard!$B$4,"")</f>
        <v/>
      </c>
      <c r="G4" s="12">
        <f>IF($A4="","",Dashboard!$B$4+SUMIFS('Trade Log'!$AA$3:$AA$152,'Trade Log'!$B$3:$B$152,"&lt;="&amp;$A4))</f>
        <v/>
      </c>
      <c r="H4" s="12">
        <f>IF($A4="","",MIN(Dashboard!$B$7,MAX(IF(H3="",Dashboard!$B$4,H3),G4)))</f>
        <v/>
      </c>
      <c r="I4" s="12">
        <f>IF($A4="","",H4-Dashboard!$B$5)</f>
        <v/>
      </c>
      <c r="J4" s="12">
        <f>IF($A4="","",G4-I4)</f>
        <v/>
      </c>
      <c r="K4" s="10">
        <f>IF($A4="","",IF(G4&lt;I4,"BREACH","ok"))</f>
        <v/>
      </c>
    </row>
    <row r="5">
      <c r="A5" s="18" t="n"/>
      <c r="B5" s="10">
        <f>IF($A5="","",COUNTIFS('Trade Log'!$B$3:$B$152,$A5))</f>
        <v/>
      </c>
      <c r="C5" s="10">
        <f>IF($A5="","",COUNTIFS('Trade Log'!$B$3:$B$152,$A5,'Trade Log'!$AC$3:$AC$152,1))</f>
        <v/>
      </c>
      <c r="D5" s="10">
        <f>IF($A5="","",COUNTIFS('Trade Log'!$B$3:$B$152,$A5,'Trade Log'!$AC$3:$AC$152,0))</f>
        <v/>
      </c>
      <c r="E5" s="12">
        <f>IF($A5="","",SUMIFS('Trade Log'!$AA$3:$AA$152,'Trade Log'!$B$3:$B$152,$A5))</f>
        <v/>
      </c>
      <c r="F5" s="11">
        <f>IFERROR(E5/Dashboard!$B$4,"")</f>
        <v/>
      </c>
      <c r="G5" s="12">
        <f>IF($A5="","",Dashboard!$B$4+SUMIFS('Trade Log'!$AA$3:$AA$152,'Trade Log'!$B$3:$B$152,"&lt;="&amp;$A5))</f>
        <v/>
      </c>
      <c r="H5" s="12">
        <f>IF($A5="","",MIN(Dashboard!$B$7,MAX(IF(H4="",Dashboard!$B$4,H4),G5)))</f>
        <v/>
      </c>
      <c r="I5" s="12">
        <f>IF($A5="","",H5-Dashboard!$B$5)</f>
        <v/>
      </c>
      <c r="J5" s="12">
        <f>IF($A5="","",G5-I5)</f>
        <v/>
      </c>
      <c r="K5" s="10">
        <f>IF($A5="","",IF(G5&lt;I5,"BREACH","ok"))</f>
        <v/>
      </c>
    </row>
    <row r="6">
      <c r="A6" s="18" t="n"/>
      <c r="B6" s="10">
        <f>IF($A6="","",COUNTIFS('Trade Log'!$B$3:$B$152,$A6))</f>
        <v/>
      </c>
      <c r="C6" s="10">
        <f>IF($A6="","",COUNTIFS('Trade Log'!$B$3:$B$152,$A6,'Trade Log'!$AC$3:$AC$152,1))</f>
        <v/>
      </c>
      <c r="D6" s="10">
        <f>IF($A6="","",COUNTIFS('Trade Log'!$B$3:$B$152,$A6,'Trade Log'!$AC$3:$AC$152,0))</f>
        <v/>
      </c>
      <c r="E6" s="12">
        <f>IF($A6="","",SUMIFS('Trade Log'!$AA$3:$AA$152,'Trade Log'!$B$3:$B$152,$A6))</f>
        <v/>
      </c>
      <c r="F6" s="11">
        <f>IFERROR(E6/Dashboard!$B$4,"")</f>
        <v/>
      </c>
      <c r="G6" s="12">
        <f>IF($A6="","",Dashboard!$B$4+SUMIFS('Trade Log'!$AA$3:$AA$152,'Trade Log'!$B$3:$B$152,"&lt;="&amp;$A6))</f>
        <v/>
      </c>
      <c r="H6" s="12">
        <f>IF($A6="","",MIN(Dashboard!$B$7,MAX(IF(H5="",Dashboard!$B$4,H5),G6)))</f>
        <v/>
      </c>
      <c r="I6" s="12">
        <f>IF($A6="","",H6-Dashboard!$B$5)</f>
        <v/>
      </c>
      <c r="J6" s="12">
        <f>IF($A6="","",G6-I6)</f>
        <v/>
      </c>
      <c r="K6" s="10">
        <f>IF($A6="","",IF(G6&lt;I6,"BREACH","ok"))</f>
        <v/>
      </c>
    </row>
    <row r="7">
      <c r="A7" s="18" t="n"/>
      <c r="B7" s="10">
        <f>IF($A7="","",COUNTIFS('Trade Log'!$B$3:$B$152,$A7))</f>
        <v/>
      </c>
      <c r="C7" s="10">
        <f>IF($A7="","",COUNTIFS('Trade Log'!$B$3:$B$152,$A7,'Trade Log'!$AC$3:$AC$152,1))</f>
        <v/>
      </c>
      <c r="D7" s="10">
        <f>IF($A7="","",COUNTIFS('Trade Log'!$B$3:$B$152,$A7,'Trade Log'!$AC$3:$AC$152,0))</f>
        <v/>
      </c>
      <c r="E7" s="12">
        <f>IF($A7="","",SUMIFS('Trade Log'!$AA$3:$AA$152,'Trade Log'!$B$3:$B$152,$A7))</f>
        <v/>
      </c>
      <c r="F7" s="11">
        <f>IFERROR(E7/Dashboard!$B$4,"")</f>
        <v/>
      </c>
      <c r="G7" s="12">
        <f>IF($A7="","",Dashboard!$B$4+SUMIFS('Trade Log'!$AA$3:$AA$152,'Trade Log'!$B$3:$B$152,"&lt;="&amp;$A7))</f>
        <v/>
      </c>
      <c r="H7" s="12">
        <f>IF($A7="","",MIN(Dashboard!$B$7,MAX(IF(H6="",Dashboard!$B$4,H6),G7)))</f>
        <v/>
      </c>
      <c r="I7" s="12">
        <f>IF($A7="","",H7-Dashboard!$B$5)</f>
        <v/>
      </c>
      <c r="J7" s="12">
        <f>IF($A7="","",G7-I7)</f>
        <v/>
      </c>
      <c r="K7" s="10">
        <f>IF($A7="","",IF(G7&lt;I7,"BREACH","ok"))</f>
        <v/>
      </c>
    </row>
    <row r="8">
      <c r="A8" s="18" t="n"/>
      <c r="B8" s="10">
        <f>IF($A8="","",COUNTIFS('Trade Log'!$B$3:$B$152,$A8))</f>
        <v/>
      </c>
      <c r="C8" s="10">
        <f>IF($A8="","",COUNTIFS('Trade Log'!$B$3:$B$152,$A8,'Trade Log'!$AC$3:$AC$152,1))</f>
        <v/>
      </c>
      <c r="D8" s="10">
        <f>IF($A8="","",COUNTIFS('Trade Log'!$B$3:$B$152,$A8,'Trade Log'!$AC$3:$AC$152,0))</f>
        <v/>
      </c>
      <c r="E8" s="12">
        <f>IF($A8="","",SUMIFS('Trade Log'!$AA$3:$AA$152,'Trade Log'!$B$3:$B$152,$A8))</f>
        <v/>
      </c>
      <c r="F8" s="11">
        <f>IFERROR(E8/Dashboard!$B$4,"")</f>
        <v/>
      </c>
      <c r="G8" s="12">
        <f>IF($A8="","",Dashboard!$B$4+SUMIFS('Trade Log'!$AA$3:$AA$152,'Trade Log'!$B$3:$B$152,"&lt;="&amp;$A8))</f>
        <v/>
      </c>
      <c r="H8" s="12">
        <f>IF($A8="","",MIN(Dashboard!$B$7,MAX(IF(H7="",Dashboard!$B$4,H7),G8)))</f>
        <v/>
      </c>
      <c r="I8" s="12">
        <f>IF($A8="","",H8-Dashboard!$B$5)</f>
        <v/>
      </c>
      <c r="J8" s="12">
        <f>IF($A8="","",G8-I8)</f>
        <v/>
      </c>
      <c r="K8" s="10">
        <f>IF($A8="","",IF(G8&lt;I8,"BREACH","ok"))</f>
        <v/>
      </c>
    </row>
    <row r="9">
      <c r="A9" s="18" t="n"/>
      <c r="B9" s="10">
        <f>IF($A9="","",COUNTIFS('Trade Log'!$B$3:$B$152,$A9))</f>
        <v/>
      </c>
      <c r="C9" s="10">
        <f>IF($A9="","",COUNTIFS('Trade Log'!$B$3:$B$152,$A9,'Trade Log'!$AC$3:$AC$152,1))</f>
        <v/>
      </c>
      <c r="D9" s="10">
        <f>IF($A9="","",COUNTIFS('Trade Log'!$B$3:$B$152,$A9,'Trade Log'!$AC$3:$AC$152,0))</f>
        <v/>
      </c>
      <c r="E9" s="12">
        <f>IF($A9="","",SUMIFS('Trade Log'!$AA$3:$AA$152,'Trade Log'!$B$3:$B$152,$A9))</f>
        <v/>
      </c>
      <c r="F9" s="11">
        <f>IFERROR(E9/Dashboard!$B$4,"")</f>
        <v/>
      </c>
      <c r="G9" s="12">
        <f>IF($A9="","",Dashboard!$B$4+SUMIFS('Trade Log'!$AA$3:$AA$152,'Trade Log'!$B$3:$B$152,"&lt;="&amp;$A9))</f>
        <v/>
      </c>
      <c r="H9" s="12">
        <f>IF($A9="","",MIN(Dashboard!$B$7,MAX(IF(H8="",Dashboard!$B$4,H8),G9)))</f>
        <v/>
      </c>
      <c r="I9" s="12">
        <f>IF($A9="","",H9-Dashboard!$B$5)</f>
        <v/>
      </c>
      <c r="J9" s="12">
        <f>IF($A9="","",G9-I9)</f>
        <v/>
      </c>
      <c r="K9" s="10">
        <f>IF($A9="","",IF(G9&lt;I9,"BREACH","ok"))</f>
        <v/>
      </c>
    </row>
    <row r="10">
      <c r="A10" s="18" t="n"/>
      <c r="B10" s="10">
        <f>IF($A10="","",COUNTIFS('Trade Log'!$B$3:$B$152,$A10))</f>
        <v/>
      </c>
      <c r="C10" s="10">
        <f>IF($A10="","",COUNTIFS('Trade Log'!$B$3:$B$152,$A10,'Trade Log'!$AC$3:$AC$152,1))</f>
        <v/>
      </c>
      <c r="D10" s="10">
        <f>IF($A10="","",COUNTIFS('Trade Log'!$B$3:$B$152,$A10,'Trade Log'!$AC$3:$AC$152,0))</f>
        <v/>
      </c>
      <c r="E10" s="12">
        <f>IF($A10="","",SUMIFS('Trade Log'!$AA$3:$AA$152,'Trade Log'!$B$3:$B$152,$A10))</f>
        <v/>
      </c>
      <c r="F10" s="11">
        <f>IFERROR(E10/Dashboard!$B$4,"")</f>
        <v/>
      </c>
      <c r="G10" s="12">
        <f>IF($A10="","",Dashboard!$B$4+SUMIFS('Trade Log'!$AA$3:$AA$152,'Trade Log'!$B$3:$B$152,"&lt;="&amp;$A10))</f>
        <v/>
      </c>
      <c r="H10" s="12">
        <f>IF($A10="","",MIN(Dashboard!$B$7,MAX(IF(H9="",Dashboard!$B$4,H9),G10)))</f>
        <v/>
      </c>
      <c r="I10" s="12">
        <f>IF($A10="","",H10-Dashboard!$B$5)</f>
        <v/>
      </c>
      <c r="J10" s="12">
        <f>IF($A10="","",G10-I10)</f>
        <v/>
      </c>
      <c r="K10" s="10">
        <f>IF($A10="","",IF(G10&lt;I10,"BREACH","ok"))</f>
        <v/>
      </c>
    </row>
    <row r="11">
      <c r="A11" s="18" t="n"/>
      <c r="B11" s="10">
        <f>IF($A11="","",COUNTIFS('Trade Log'!$B$3:$B$152,$A11))</f>
        <v/>
      </c>
      <c r="C11" s="10">
        <f>IF($A11="","",COUNTIFS('Trade Log'!$B$3:$B$152,$A11,'Trade Log'!$AC$3:$AC$152,1))</f>
        <v/>
      </c>
      <c r="D11" s="10">
        <f>IF($A11="","",COUNTIFS('Trade Log'!$B$3:$B$152,$A11,'Trade Log'!$AC$3:$AC$152,0))</f>
        <v/>
      </c>
      <c r="E11" s="12">
        <f>IF($A11="","",SUMIFS('Trade Log'!$AA$3:$AA$152,'Trade Log'!$B$3:$B$152,$A11))</f>
        <v/>
      </c>
      <c r="F11" s="11">
        <f>IFERROR(E11/Dashboard!$B$4,"")</f>
        <v/>
      </c>
      <c r="G11" s="12">
        <f>IF($A11="","",Dashboard!$B$4+SUMIFS('Trade Log'!$AA$3:$AA$152,'Trade Log'!$B$3:$B$152,"&lt;="&amp;$A11))</f>
        <v/>
      </c>
      <c r="H11" s="12">
        <f>IF($A11="","",MIN(Dashboard!$B$7,MAX(IF(H10="",Dashboard!$B$4,H10),G11)))</f>
        <v/>
      </c>
      <c r="I11" s="12">
        <f>IF($A11="","",H11-Dashboard!$B$5)</f>
        <v/>
      </c>
      <c r="J11" s="12">
        <f>IF($A11="","",G11-I11)</f>
        <v/>
      </c>
      <c r="K11" s="10">
        <f>IF($A11="","",IF(G11&lt;I11,"BREACH","ok"))</f>
        <v/>
      </c>
    </row>
    <row r="12">
      <c r="A12" s="18" t="n"/>
      <c r="B12" s="10">
        <f>IF($A12="","",COUNTIFS('Trade Log'!$B$3:$B$152,$A12))</f>
        <v/>
      </c>
      <c r="C12" s="10">
        <f>IF($A12="","",COUNTIFS('Trade Log'!$B$3:$B$152,$A12,'Trade Log'!$AC$3:$AC$152,1))</f>
        <v/>
      </c>
      <c r="D12" s="10">
        <f>IF($A12="","",COUNTIFS('Trade Log'!$B$3:$B$152,$A12,'Trade Log'!$AC$3:$AC$152,0))</f>
        <v/>
      </c>
      <c r="E12" s="12">
        <f>IF($A12="","",SUMIFS('Trade Log'!$AA$3:$AA$152,'Trade Log'!$B$3:$B$152,$A12))</f>
        <v/>
      </c>
      <c r="F12" s="11">
        <f>IFERROR(E12/Dashboard!$B$4,"")</f>
        <v/>
      </c>
      <c r="G12" s="12">
        <f>IF($A12="","",Dashboard!$B$4+SUMIFS('Trade Log'!$AA$3:$AA$152,'Trade Log'!$B$3:$B$152,"&lt;="&amp;$A12))</f>
        <v/>
      </c>
      <c r="H12" s="12">
        <f>IF($A12="","",MIN(Dashboard!$B$7,MAX(IF(H11="",Dashboard!$B$4,H11),G12)))</f>
        <v/>
      </c>
      <c r="I12" s="12">
        <f>IF($A12="","",H12-Dashboard!$B$5)</f>
        <v/>
      </c>
      <c r="J12" s="12">
        <f>IF($A12="","",G12-I12)</f>
        <v/>
      </c>
      <c r="K12" s="10">
        <f>IF($A12="","",IF(G12&lt;I12,"BREACH","ok"))</f>
        <v/>
      </c>
    </row>
    <row r="13">
      <c r="A13" s="18" t="n"/>
      <c r="B13" s="10">
        <f>IF($A13="","",COUNTIFS('Trade Log'!$B$3:$B$152,$A13))</f>
        <v/>
      </c>
      <c r="C13" s="10">
        <f>IF($A13="","",COUNTIFS('Trade Log'!$B$3:$B$152,$A13,'Trade Log'!$AC$3:$AC$152,1))</f>
        <v/>
      </c>
      <c r="D13" s="10">
        <f>IF($A13="","",COUNTIFS('Trade Log'!$B$3:$B$152,$A13,'Trade Log'!$AC$3:$AC$152,0))</f>
        <v/>
      </c>
      <c r="E13" s="12">
        <f>IF($A13="","",SUMIFS('Trade Log'!$AA$3:$AA$152,'Trade Log'!$B$3:$B$152,$A13))</f>
        <v/>
      </c>
      <c r="F13" s="11">
        <f>IFERROR(E13/Dashboard!$B$4,"")</f>
        <v/>
      </c>
      <c r="G13" s="12">
        <f>IF($A13="","",Dashboard!$B$4+SUMIFS('Trade Log'!$AA$3:$AA$152,'Trade Log'!$B$3:$B$152,"&lt;="&amp;$A13))</f>
        <v/>
      </c>
      <c r="H13" s="12">
        <f>IF($A13="","",MIN(Dashboard!$B$7,MAX(IF(H12="",Dashboard!$B$4,H12),G13)))</f>
        <v/>
      </c>
      <c r="I13" s="12">
        <f>IF($A13="","",H13-Dashboard!$B$5)</f>
        <v/>
      </c>
      <c r="J13" s="12">
        <f>IF($A13="","",G13-I13)</f>
        <v/>
      </c>
      <c r="K13" s="10">
        <f>IF($A13="","",IF(G13&lt;I13,"BREACH","ok"))</f>
        <v/>
      </c>
    </row>
    <row r="14">
      <c r="A14" s="18" t="n"/>
      <c r="B14" s="10">
        <f>IF($A14="","",COUNTIFS('Trade Log'!$B$3:$B$152,$A14))</f>
        <v/>
      </c>
      <c r="C14" s="10">
        <f>IF($A14="","",COUNTIFS('Trade Log'!$B$3:$B$152,$A14,'Trade Log'!$AC$3:$AC$152,1))</f>
        <v/>
      </c>
      <c r="D14" s="10">
        <f>IF($A14="","",COUNTIFS('Trade Log'!$B$3:$B$152,$A14,'Trade Log'!$AC$3:$AC$152,0))</f>
        <v/>
      </c>
      <c r="E14" s="12">
        <f>IF($A14="","",SUMIFS('Trade Log'!$AA$3:$AA$152,'Trade Log'!$B$3:$B$152,$A14))</f>
        <v/>
      </c>
      <c r="F14" s="11">
        <f>IFERROR(E14/Dashboard!$B$4,"")</f>
        <v/>
      </c>
      <c r="G14" s="12">
        <f>IF($A14="","",Dashboard!$B$4+SUMIFS('Trade Log'!$AA$3:$AA$152,'Trade Log'!$B$3:$B$152,"&lt;="&amp;$A14))</f>
        <v/>
      </c>
      <c r="H14" s="12">
        <f>IF($A14="","",MIN(Dashboard!$B$7,MAX(IF(H13="",Dashboard!$B$4,H13),G14)))</f>
        <v/>
      </c>
      <c r="I14" s="12">
        <f>IF($A14="","",H14-Dashboard!$B$5)</f>
        <v/>
      </c>
      <c r="J14" s="12">
        <f>IF($A14="","",G14-I14)</f>
        <v/>
      </c>
      <c r="K14" s="10">
        <f>IF($A14="","",IF(G14&lt;I14,"BREACH","ok"))</f>
        <v/>
      </c>
    </row>
    <row r="15">
      <c r="A15" s="18" t="n"/>
      <c r="B15" s="10">
        <f>IF($A15="","",COUNTIFS('Trade Log'!$B$3:$B$152,$A15))</f>
        <v/>
      </c>
      <c r="C15" s="10">
        <f>IF($A15="","",COUNTIFS('Trade Log'!$B$3:$B$152,$A15,'Trade Log'!$AC$3:$AC$152,1))</f>
        <v/>
      </c>
      <c r="D15" s="10">
        <f>IF($A15="","",COUNTIFS('Trade Log'!$B$3:$B$152,$A15,'Trade Log'!$AC$3:$AC$152,0))</f>
        <v/>
      </c>
      <c r="E15" s="12">
        <f>IF($A15="","",SUMIFS('Trade Log'!$AA$3:$AA$152,'Trade Log'!$B$3:$B$152,$A15))</f>
        <v/>
      </c>
      <c r="F15" s="11">
        <f>IFERROR(E15/Dashboard!$B$4,"")</f>
        <v/>
      </c>
      <c r="G15" s="12">
        <f>IF($A15="","",Dashboard!$B$4+SUMIFS('Trade Log'!$AA$3:$AA$152,'Trade Log'!$B$3:$B$152,"&lt;="&amp;$A15))</f>
        <v/>
      </c>
      <c r="H15" s="12">
        <f>IF($A15="","",MIN(Dashboard!$B$7,MAX(IF(H14="",Dashboard!$B$4,H14),G15)))</f>
        <v/>
      </c>
      <c r="I15" s="12">
        <f>IF($A15="","",H15-Dashboard!$B$5)</f>
        <v/>
      </c>
      <c r="J15" s="12">
        <f>IF($A15="","",G15-I15)</f>
        <v/>
      </c>
      <c r="K15" s="10">
        <f>IF($A15="","",IF(G15&lt;I15,"BREACH","ok"))</f>
        <v/>
      </c>
    </row>
    <row r="16">
      <c r="A16" s="18" t="n"/>
      <c r="B16" s="10">
        <f>IF($A16="","",COUNTIFS('Trade Log'!$B$3:$B$152,$A16))</f>
        <v/>
      </c>
      <c r="C16" s="10">
        <f>IF($A16="","",COUNTIFS('Trade Log'!$B$3:$B$152,$A16,'Trade Log'!$AC$3:$AC$152,1))</f>
        <v/>
      </c>
      <c r="D16" s="10">
        <f>IF($A16="","",COUNTIFS('Trade Log'!$B$3:$B$152,$A16,'Trade Log'!$AC$3:$AC$152,0))</f>
        <v/>
      </c>
      <c r="E16" s="12">
        <f>IF($A16="","",SUMIFS('Trade Log'!$AA$3:$AA$152,'Trade Log'!$B$3:$B$152,$A16))</f>
        <v/>
      </c>
      <c r="F16" s="11">
        <f>IFERROR(E16/Dashboard!$B$4,"")</f>
        <v/>
      </c>
      <c r="G16" s="12">
        <f>IF($A16="","",Dashboard!$B$4+SUMIFS('Trade Log'!$AA$3:$AA$152,'Trade Log'!$B$3:$B$152,"&lt;="&amp;$A16))</f>
        <v/>
      </c>
      <c r="H16" s="12">
        <f>IF($A16="","",MIN(Dashboard!$B$7,MAX(IF(H15="",Dashboard!$B$4,H15),G16)))</f>
        <v/>
      </c>
      <c r="I16" s="12">
        <f>IF($A16="","",H16-Dashboard!$B$5)</f>
        <v/>
      </c>
      <c r="J16" s="12">
        <f>IF($A16="","",G16-I16)</f>
        <v/>
      </c>
      <c r="K16" s="10">
        <f>IF($A16="","",IF(G16&lt;I16,"BREACH","ok"))</f>
        <v/>
      </c>
    </row>
    <row r="17">
      <c r="A17" s="18" t="n"/>
      <c r="B17" s="10">
        <f>IF($A17="","",COUNTIFS('Trade Log'!$B$3:$B$152,$A17))</f>
        <v/>
      </c>
      <c r="C17" s="10">
        <f>IF($A17="","",COUNTIFS('Trade Log'!$B$3:$B$152,$A17,'Trade Log'!$AC$3:$AC$152,1))</f>
        <v/>
      </c>
      <c r="D17" s="10">
        <f>IF($A17="","",COUNTIFS('Trade Log'!$B$3:$B$152,$A17,'Trade Log'!$AC$3:$AC$152,0))</f>
        <v/>
      </c>
      <c r="E17" s="12">
        <f>IF($A17="","",SUMIFS('Trade Log'!$AA$3:$AA$152,'Trade Log'!$B$3:$B$152,$A17))</f>
        <v/>
      </c>
      <c r="F17" s="11">
        <f>IFERROR(E17/Dashboard!$B$4,"")</f>
        <v/>
      </c>
      <c r="G17" s="12">
        <f>IF($A17="","",Dashboard!$B$4+SUMIFS('Trade Log'!$AA$3:$AA$152,'Trade Log'!$B$3:$B$152,"&lt;="&amp;$A17))</f>
        <v/>
      </c>
      <c r="H17" s="12">
        <f>IF($A17="","",MIN(Dashboard!$B$7,MAX(IF(H16="",Dashboard!$B$4,H16),G17)))</f>
        <v/>
      </c>
      <c r="I17" s="12">
        <f>IF($A17="","",H17-Dashboard!$B$5)</f>
        <v/>
      </c>
      <c r="J17" s="12">
        <f>IF($A17="","",G17-I17)</f>
        <v/>
      </c>
      <c r="K17" s="10">
        <f>IF($A17="","",IF(G17&lt;I17,"BREACH","ok"))</f>
        <v/>
      </c>
    </row>
    <row r="18">
      <c r="A18" s="18" t="n"/>
      <c r="B18" s="10">
        <f>IF($A18="","",COUNTIFS('Trade Log'!$B$3:$B$152,$A18))</f>
        <v/>
      </c>
      <c r="C18" s="10">
        <f>IF($A18="","",COUNTIFS('Trade Log'!$B$3:$B$152,$A18,'Trade Log'!$AC$3:$AC$152,1))</f>
        <v/>
      </c>
      <c r="D18" s="10">
        <f>IF($A18="","",COUNTIFS('Trade Log'!$B$3:$B$152,$A18,'Trade Log'!$AC$3:$AC$152,0))</f>
        <v/>
      </c>
      <c r="E18" s="12">
        <f>IF($A18="","",SUMIFS('Trade Log'!$AA$3:$AA$152,'Trade Log'!$B$3:$B$152,$A18))</f>
        <v/>
      </c>
      <c r="F18" s="11">
        <f>IFERROR(E18/Dashboard!$B$4,"")</f>
        <v/>
      </c>
      <c r="G18" s="12">
        <f>IF($A18="","",Dashboard!$B$4+SUMIFS('Trade Log'!$AA$3:$AA$152,'Trade Log'!$B$3:$B$152,"&lt;="&amp;$A18))</f>
        <v/>
      </c>
      <c r="H18" s="12">
        <f>IF($A18="","",MIN(Dashboard!$B$7,MAX(IF(H17="",Dashboard!$B$4,H17),G18)))</f>
        <v/>
      </c>
      <c r="I18" s="12">
        <f>IF($A18="","",H18-Dashboard!$B$5)</f>
        <v/>
      </c>
      <c r="J18" s="12">
        <f>IF($A18="","",G18-I18)</f>
        <v/>
      </c>
      <c r="K18" s="10">
        <f>IF($A18="","",IF(G18&lt;I18,"BREACH","ok"))</f>
        <v/>
      </c>
    </row>
    <row r="19">
      <c r="A19" s="18" t="n"/>
      <c r="B19" s="10">
        <f>IF($A19="","",COUNTIFS('Trade Log'!$B$3:$B$152,$A19))</f>
        <v/>
      </c>
      <c r="C19" s="10">
        <f>IF($A19="","",COUNTIFS('Trade Log'!$B$3:$B$152,$A19,'Trade Log'!$AC$3:$AC$152,1))</f>
        <v/>
      </c>
      <c r="D19" s="10">
        <f>IF($A19="","",COUNTIFS('Trade Log'!$B$3:$B$152,$A19,'Trade Log'!$AC$3:$AC$152,0))</f>
        <v/>
      </c>
      <c r="E19" s="12">
        <f>IF($A19="","",SUMIFS('Trade Log'!$AA$3:$AA$152,'Trade Log'!$B$3:$B$152,$A19))</f>
        <v/>
      </c>
      <c r="F19" s="11">
        <f>IFERROR(E19/Dashboard!$B$4,"")</f>
        <v/>
      </c>
      <c r="G19" s="12">
        <f>IF($A19="","",Dashboard!$B$4+SUMIFS('Trade Log'!$AA$3:$AA$152,'Trade Log'!$B$3:$B$152,"&lt;="&amp;$A19))</f>
        <v/>
      </c>
      <c r="H19" s="12">
        <f>IF($A19="","",MIN(Dashboard!$B$7,MAX(IF(H18="",Dashboard!$B$4,H18),G19)))</f>
        <v/>
      </c>
      <c r="I19" s="12">
        <f>IF($A19="","",H19-Dashboard!$B$5)</f>
        <v/>
      </c>
      <c r="J19" s="12">
        <f>IF($A19="","",G19-I19)</f>
        <v/>
      </c>
      <c r="K19" s="10">
        <f>IF($A19="","",IF(G19&lt;I19,"BREACH","ok"))</f>
        <v/>
      </c>
    </row>
    <row r="20">
      <c r="A20" s="18" t="n"/>
      <c r="B20" s="10">
        <f>IF($A20="","",COUNTIFS('Trade Log'!$B$3:$B$152,$A20))</f>
        <v/>
      </c>
      <c r="C20" s="10">
        <f>IF($A20="","",COUNTIFS('Trade Log'!$B$3:$B$152,$A20,'Trade Log'!$AC$3:$AC$152,1))</f>
        <v/>
      </c>
      <c r="D20" s="10">
        <f>IF($A20="","",COUNTIFS('Trade Log'!$B$3:$B$152,$A20,'Trade Log'!$AC$3:$AC$152,0))</f>
        <v/>
      </c>
      <c r="E20" s="12">
        <f>IF($A20="","",SUMIFS('Trade Log'!$AA$3:$AA$152,'Trade Log'!$B$3:$B$152,$A20))</f>
        <v/>
      </c>
      <c r="F20" s="11">
        <f>IFERROR(E20/Dashboard!$B$4,"")</f>
        <v/>
      </c>
      <c r="G20" s="12">
        <f>IF($A20="","",Dashboard!$B$4+SUMIFS('Trade Log'!$AA$3:$AA$152,'Trade Log'!$B$3:$B$152,"&lt;="&amp;$A20))</f>
        <v/>
      </c>
      <c r="H20" s="12">
        <f>IF($A20="","",MIN(Dashboard!$B$7,MAX(IF(H19="",Dashboard!$B$4,H19),G20)))</f>
        <v/>
      </c>
      <c r="I20" s="12">
        <f>IF($A20="","",H20-Dashboard!$B$5)</f>
        <v/>
      </c>
      <c r="J20" s="12">
        <f>IF($A20="","",G20-I20)</f>
        <v/>
      </c>
      <c r="K20" s="10">
        <f>IF($A20="","",IF(G20&lt;I20,"BREACH","ok"))</f>
        <v/>
      </c>
    </row>
    <row r="21">
      <c r="A21" s="18" t="n"/>
      <c r="B21" s="10">
        <f>IF($A21="","",COUNTIFS('Trade Log'!$B$3:$B$152,$A21))</f>
        <v/>
      </c>
      <c r="C21" s="10">
        <f>IF($A21="","",COUNTIFS('Trade Log'!$B$3:$B$152,$A21,'Trade Log'!$AC$3:$AC$152,1))</f>
        <v/>
      </c>
      <c r="D21" s="10">
        <f>IF($A21="","",COUNTIFS('Trade Log'!$B$3:$B$152,$A21,'Trade Log'!$AC$3:$AC$152,0))</f>
        <v/>
      </c>
      <c r="E21" s="12">
        <f>IF($A21="","",SUMIFS('Trade Log'!$AA$3:$AA$152,'Trade Log'!$B$3:$B$152,$A21))</f>
        <v/>
      </c>
      <c r="F21" s="11">
        <f>IFERROR(E21/Dashboard!$B$4,"")</f>
        <v/>
      </c>
      <c r="G21" s="12">
        <f>IF($A21="","",Dashboard!$B$4+SUMIFS('Trade Log'!$AA$3:$AA$152,'Trade Log'!$B$3:$B$152,"&lt;="&amp;$A21))</f>
        <v/>
      </c>
      <c r="H21" s="12">
        <f>IF($A21="","",MIN(Dashboard!$B$7,MAX(IF(H20="",Dashboard!$B$4,H20),G21)))</f>
        <v/>
      </c>
      <c r="I21" s="12">
        <f>IF($A21="","",H21-Dashboard!$B$5)</f>
        <v/>
      </c>
      <c r="J21" s="12">
        <f>IF($A21="","",G21-I21)</f>
        <v/>
      </c>
      <c r="K21" s="10">
        <f>IF($A21="","",IF(G21&lt;I21,"BREACH","ok"))</f>
        <v/>
      </c>
    </row>
    <row r="22">
      <c r="A22" s="18" t="n"/>
      <c r="B22" s="10">
        <f>IF($A22="","",COUNTIFS('Trade Log'!$B$3:$B$152,$A22))</f>
        <v/>
      </c>
      <c r="C22" s="10">
        <f>IF($A22="","",COUNTIFS('Trade Log'!$B$3:$B$152,$A22,'Trade Log'!$AC$3:$AC$152,1))</f>
        <v/>
      </c>
      <c r="D22" s="10">
        <f>IF($A22="","",COUNTIFS('Trade Log'!$B$3:$B$152,$A22,'Trade Log'!$AC$3:$AC$152,0))</f>
        <v/>
      </c>
      <c r="E22" s="12">
        <f>IF($A22="","",SUMIFS('Trade Log'!$AA$3:$AA$152,'Trade Log'!$B$3:$B$152,$A22))</f>
        <v/>
      </c>
      <c r="F22" s="11">
        <f>IFERROR(E22/Dashboard!$B$4,"")</f>
        <v/>
      </c>
      <c r="G22" s="12">
        <f>IF($A22="","",Dashboard!$B$4+SUMIFS('Trade Log'!$AA$3:$AA$152,'Trade Log'!$B$3:$B$152,"&lt;="&amp;$A22))</f>
        <v/>
      </c>
      <c r="H22" s="12">
        <f>IF($A22="","",MIN(Dashboard!$B$7,MAX(IF(H21="",Dashboard!$B$4,H21),G22)))</f>
        <v/>
      </c>
      <c r="I22" s="12">
        <f>IF($A22="","",H22-Dashboard!$B$5)</f>
        <v/>
      </c>
      <c r="J22" s="12">
        <f>IF($A22="","",G22-I22)</f>
        <v/>
      </c>
      <c r="K22" s="10">
        <f>IF($A22="","",IF(G22&lt;I22,"BREACH","ok"))</f>
        <v/>
      </c>
    </row>
    <row r="23">
      <c r="A23" s="18" t="n"/>
      <c r="B23" s="10">
        <f>IF($A23="","",COUNTIFS('Trade Log'!$B$3:$B$152,$A23))</f>
        <v/>
      </c>
      <c r="C23" s="10">
        <f>IF($A23="","",COUNTIFS('Trade Log'!$B$3:$B$152,$A23,'Trade Log'!$AC$3:$AC$152,1))</f>
        <v/>
      </c>
      <c r="D23" s="10">
        <f>IF($A23="","",COUNTIFS('Trade Log'!$B$3:$B$152,$A23,'Trade Log'!$AC$3:$AC$152,0))</f>
        <v/>
      </c>
      <c r="E23" s="12">
        <f>IF($A23="","",SUMIFS('Trade Log'!$AA$3:$AA$152,'Trade Log'!$B$3:$B$152,$A23))</f>
        <v/>
      </c>
      <c r="F23" s="11">
        <f>IFERROR(E23/Dashboard!$B$4,"")</f>
        <v/>
      </c>
      <c r="G23" s="12">
        <f>IF($A23="","",Dashboard!$B$4+SUMIFS('Trade Log'!$AA$3:$AA$152,'Trade Log'!$B$3:$B$152,"&lt;="&amp;$A23))</f>
        <v/>
      </c>
      <c r="H23" s="12">
        <f>IF($A23="","",MIN(Dashboard!$B$7,MAX(IF(H22="",Dashboard!$B$4,H22),G23)))</f>
        <v/>
      </c>
      <c r="I23" s="12">
        <f>IF($A23="","",H23-Dashboard!$B$5)</f>
        <v/>
      </c>
      <c r="J23" s="12">
        <f>IF($A23="","",G23-I23)</f>
        <v/>
      </c>
      <c r="K23" s="10">
        <f>IF($A23="","",IF(G23&lt;I23,"BREACH","ok"))</f>
        <v/>
      </c>
    </row>
    <row r="24">
      <c r="A24" s="18" t="n"/>
      <c r="B24" s="10">
        <f>IF($A24="","",COUNTIFS('Trade Log'!$B$3:$B$152,$A24))</f>
        <v/>
      </c>
      <c r="C24" s="10">
        <f>IF($A24="","",COUNTIFS('Trade Log'!$B$3:$B$152,$A24,'Trade Log'!$AC$3:$AC$152,1))</f>
        <v/>
      </c>
      <c r="D24" s="10">
        <f>IF($A24="","",COUNTIFS('Trade Log'!$B$3:$B$152,$A24,'Trade Log'!$AC$3:$AC$152,0))</f>
        <v/>
      </c>
      <c r="E24" s="12">
        <f>IF($A24="","",SUMIFS('Trade Log'!$AA$3:$AA$152,'Trade Log'!$B$3:$B$152,$A24))</f>
        <v/>
      </c>
      <c r="F24" s="11">
        <f>IFERROR(E24/Dashboard!$B$4,"")</f>
        <v/>
      </c>
      <c r="G24" s="12">
        <f>IF($A24="","",Dashboard!$B$4+SUMIFS('Trade Log'!$AA$3:$AA$152,'Trade Log'!$B$3:$B$152,"&lt;="&amp;$A24))</f>
        <v/>
      </c>
      <c r="H24" s="12">
        <f>IF($A24="","",MIN(Dashboard!$B$7,MAX(IF(H23="",Dashboard!$B$4,H23),G24)))</f>
        <v/>
      </c>
      <c r="I24" s="12">
        <f>IF($A24="","",H24-Dashboard!$B$5)</f>
        <v/>
      </c>
      <c r="J24" s="12">
        <f>IF($A24="","",G24-I24)</f>
        <v/>
      </c>
      <c r="K24" s="10">
        <f>IF($A24="","",IF(G24&lt;I24,"BREACH","ok"))</f>
        <v/>
      </c>
    </row>
    <row r="25">
      <c r="A25" s="18" t="n"/>
      <c r="B25" s="10">
        <f>IF($A25="","",COUNTIFS('Trade Log'!$B$3:$B$152,$A25))</f>
        <v/>
      </c>
      <c r="C25" s="10">
        <f>IF($A25="","",COUNTIFS('Trade Log'!$B$3:$B$152,$A25,'Trade Log'!$AC$3:$AC$152,1))</f>
        <v/>
      </c>
      <c r="D25" s="10">
        <f>IF($A25="","",COUNTIFS('Trade Log'!$B$3:$B$152,$A25,'Trade Log'!$AC$3:$AC$152,0))</f>
        <v/>
      </c>
      <c r="E25" s="12">
        <f>IF($A25="","",SUMIFS('Trade Log'!$AA$3:$AA$152,'Trade Log'!$B$3:$B$152,$A25))</f>
        <v/>
      </c>
      <c r="F25" s="11">
        <f>IFERROR(E25/Dashboard!$B$4,"")</f>
        <v/>
      </c>
      <c r="G25" s="12">
        <f>IF($A25="","",Dashboard!$B$4+SUMIFS('Trade Log'!$AA$3:$AA$152,'Trade Log'!$B$3:$B$152,"&lt;="&amp;$A25))</f>
        <v/>
      </c>
      <c r="H25" s="12">
        <f>IF($A25="","",MIN(Dashboard!$B$7,MAX(IF(H24="",Dashboard!$B$4,H24),G25)))</f>
        <v/>
      </c>
      <c r="I25" s="12">
        <f>IF($A25="","",H25-Dashboard!$B$5)</f>
        <v/>
      </c>
      <c r="J25" s="12">
        <f>IF($A25="","",G25-I25)</f>
        <v/>
      </c>
      <c r="K25" s="10">
        <f>IF($A25="","",IF(G25&lt;I25,"BREACH","ok"))</f>
        <v/>
      </c>
    </row>
    <row r="26">
      <c r="A26" s="18" t="n"/>
      <c r="B26" s="10">
        <f>IF($A26="","",COUNTIFS('Trade Log'!$B$3:$B$152,$A26))</f>
        <v/>
      </c>
      <c r="C26" s="10">
        <f>IF($A26="","",COUNTIFS('Trade Log'!$B$3:$B$152,$A26,'Trade Log'!$AC$3:$AC$152,1))</f>
        <v/>
      </c>
      <c r="D26" s="10">
        <f>IF($A26="","",COUNTIFS('Trade Log'!$B$3:$B$152,$A26,'Trade Log'!$AC$3:$AC$152,0))</f>
        <v/>
      </c>
      <c r="E26" s="12">
        <f>IF($A26="","",SUMIFS('Trade Log'!$AA$3:$AA$152,'Trade Log'!$B$3:$B$152,$A26))</f>
        <v/>
      </c>
      <c r="F26" s="11">
        <f>IFERROR(E26/Dashboard!$B$4,"")</f>
        <v/>
      </c>
      <c r="G26" s="12">
        <f>IF($A26="","",Dashboard!$B$4+SUMIFS('Trade Log'!$AA$3:$AA$152,'Trade Log'!$B$3:$B$152,"&lt;="&amp;$A26))</f>
        <v/>
      </c>
      <c r="H26" s="12">
        <f>IF($A26="","",MIN(Dashboard!$B$7,MAX(IF(H25="",Dashboard!$B$4,H25),G26)))</f>
        <v/>
      </c>
      <c r="I26" s="12">
        <f>IF($A26="","",H26-Dashboard!$B$5)</f>
        <v/>
      </c>
      <c r="J26" s="12">
        <f>IF($A26="","",G26-I26)</f>
        <v/>
      </c>
      <c r="K26" s="10">
        <f>IF($A26="","",IF(G26&lt;I26,"BREACH","ok"))</f>
        <v/>
      </c>
    </row>
    <row r="27">
      <c r="A27" s="18" t="n"/>
      <c r="B27" s="10">
        <f>IF($A27="","",COUNTIFS('Trade Log'!$B$3:$B$152,$A27))</f>
        <v/>
      </c>
      <c r="C27" s="10">
        <f>IF($A27="","",COUNTIFS('Trade Log'!$B$3:$B$152,$A27,'Trade Log'!$AC$3:$AC$152,1))</f>
        <v/>
      </c>
      <c r="D27" s="10">
        <f>IF($A27="","",COUNTIFS('Trade Log'!$B$3:$B$152,$A27,'Trade Log'!$AC$3:$AC$152,0))</f>
        <v/>
      </c>
      <c r="E27" s="12">
        <f>IF($A27="","",SUMIFS('Trade Log'!$AA$3:$AA$152,'Trade Log'!$B$3:$B$152,$A27))</f>
        <v/>
      </c>
      <c r="F27" s="11">
        <f>IFERROR(E27/Dashboard!$B$4,"")</f>
        <v/>
      </c>
      <c r="G27" s="12">
        <f>IF($A27="","",Dashboard!$B$4+SUMIFS('Trade Log'!$AA$3:$AA$152,'Trade Log'!$B$3:$B$152,"&lt;="&amp;$A27))</f>
        <v/>
      </c>
      <c r="H27" s="12">
        <f>IF($A27="","",MIN(Dashboard!$B$7,MAX(IF(H26="",Dashboard!$B$4,H26),G27)))</f>
        <v/>
      </c>
      <c r="I27" s="12">
        <f>IF($A27="","",H27-Dashboard!$B$5)</f>
        <v/>
      </c>
      <c r="J27" s="12">
        <f>IF($A27="","",G27-I27)</f>
        <v/>
      </c>
      <c r="K27" s="10">
        <f>IF($A27="","",IF(G27&lt;I27,"BREACH","ok"))</f>
        <v/>
      </c>
    </row>
    <row r="28">
      <c r="A28" s="18" t="n"/>
      <c r="B28" s="10">
        <f>IF($A28="","",COUNTIFS('Trade Log'!$B$3:$B$152,$A28))</f>
        <v/>
      </c>
      <c r="C28" s="10">
        <f>IF($A28="","",COUNTIFS('Trade Log'!$B$3:$B$152,$A28,'Trade Log'!$AC$3:$AC$152,1))</f>
        <v/>
      </c>
      <c r="D28" s="10">
        <f>IF($A28="","",COUNTIFS('Trade Log'!$B$3:$B$152,$A28,'Trade Log'!$AC$3:$AC$152,0))</f>
        <v/>
      </c>
      <c r="E28" s="12">
        <f>IF($A28="","",SUMIFS('Trade Log'!$AA$3:$AA$152,'Trade Log'!$B$3:$B$152,$A28))</f>
        <v/>
      </c>
      <c r="F28" s="11">
        <f>IFERROR(E28/Dashboard!$B$4,"")</f>
        <v/>
      </c>
      <c r="G28" s="12">
        <f>IF($A28="","",Dashboard!$B$4+SUMIFS('Trade Log'!$AA$3:$AA$152,'Trade Log'!$B$3:$B$152,"&lt;="&amp;$A28))</f>
        <v/>
      </c>
      <c r="H28" s="12">
        <f>IF($A28="","",MIN(Dashboard!$B$7,MAX(IF(H27="",Dashboard!$B$4,H27),G28)))</f>
        <v/>
      </c>
      <c r="I28" s="12">
        <f>IF($A28="","",H28-Dashboard!$B$5)</f>
        <v/>
      </c>
      <c r="J28" s="12">
        <f>IF($A28="","",G28-I28)</f>
        <v/>
      </c>
      <c r="K28" s="10">
        <f>IF($A28="","",IF(G28&lt;I28,"BREACH","ok"))</f>
        <v/>
      </c>
    </row>
    <row r="29">
      <c r="A29" s="18" t="n"/>
      <c r="B29" s="10">
        <f>IF($A29="","",COUNTIFS('Trade Log'!$B$3:$B$152,$A29))</f>
        <v/>
      </c>
      <c r="C29" s="10">
        <f>IF($A29="","",COUNTIFS('Trade Log'!$B$3:$B$152,$A29,'Trade Log'!$AC$3:$AC$152,1))</f>
        <v/>
      </c>
      <c r="D29" s="10">
        <f>IF($A29="","",COUNTIFS('Trade Log'!$B$3:$B$152,$A29,'Trade Log'!$AC$3:$AC$152,0))</f>
        <v/>
      </c>
      <c r="E29" s="12">
        <f>IF($A29="","",SUMIFS('Trade Log'!$AA$3:$AA$152,'Trade Log'!$B$3:$B$152,$A29))</f>
        <v/>
      </c>
      <c r="F29" s="11">
        <f>IFERROR(E29/Dashboard!$B$4,"")</f>
        <v/>
      </c>
      <c r="G29" s="12">
        <f>IF($A29="","",Dashboard!$B$4+SUMIFS('Trade Log'!$AA$3:$AA$152,'Trade Log'!$B$3:$B$152,"&lt;="&amp;$A29))</f>
        <v/>
      </c>
      <c r="H29" s="12">
        <f>IF($A29="","",MIN(Dashboard!$B$7,MAX(IF(H28="",Dashboard!$B$4,H28),G29)))</f>
        <v/>
      </c>
      <c r="I29" s="12">
        <f>IF($A29="","",H29-Dashboard!$B$5)</f>
        <v/>
      </c>
      <c r="J29" s="12">
        <f>IF($A29="","",G29-I29)</f>
        <v/>
      </c>
      <c r="K29" s="10">
        <f>IF($A29="","",IF(G29&lt;I29,"BREACH","ok"))</f>
        <v/>
      </c>
    </row>
    <row r="30">
      <c r="A30" s="18" t="n"/>
      <c r="B30" s="10">
        <f>IF($A30="","",COUNTIFS('Trade Log'!$B$3:$B$152,$A30))</f>
        <v/>
      </c>
      <c r="C30" s="10">
        <f>IF($A30="","",COUNTIFS('Trade Log'!$B$3:$B$152,$A30,'Trade Log'!$AC$3:$AC$152,1))</f>
        <v/>
      </c>
      <c r="D30" s="10">
        <f>IF($A30="","",COUNTIFS('Trade Log'!$B$3:$B$152,$A30,'Trade Log'!$AC$3:$AC$152,0))</f>
        <v/>
      </c>
      <c r="E30" s="12">
        <f>IF($A30="","",SUMIFS('Trade Log'!$AA$3:$AA$152,'Trade Log'!$B$3:$B$152,$A30))</f>
        <v/>
      </c>
      <c r="F30" s="11">
        <f>IFERROR(E30/Dashboard!$B$4,"")</f>
        <v/>
      </c>
      <c r="G30" s="12">
        <f>IF($A30="","",Dashboard!$B$4+SUMIFS('Trade Log'!$AA$3:$AA$152,'Trade Log'!$B$3:$B$152,"&lt;="&amp;$A30))</f>
        <v/>
      </c>
      <c r="H30" s="12">
        <f>IF($A30="","",MIN(Dashboard!$B$7,MAX(IF(H29="",Dashboard!$B$4,H29),G30)))</f>
        <v/>
      </c>
      <c r="I30" s="12">
        <f>IF($A30="","",H30-Dashboard!$B$5)</f>
        <v/>
      </c>
      <c r="J30" s="12">
        <f>IF($A30="","",G30-I30)</f>
        <v/>
      </c>
      <c r="K30" s="10">
        <f>IF($A30="","",IF(G30&lt;I30,"BREACH","ok"))</f>
        <v/>
      </c>
    </row>
    <row r="31">
      <c r="A31" s="18" t="n"/>
      <c r="B31" s="10">
        <f>IF($A31="","",COUNTIFS('Trade Log'!$B$3:$B$152,$A31))</f>
        <v/>
      </c>
      <c r="C31" s="10">
        <f>IF($A31="","",COUNTIFS('Trade Log'!$B$3:$B$152,$A31,'Trade Log'!$AC$3:$AC$152,1))</f>
        <v/>
      </c>
      <c r="D31" s="10">
        <f>IF($A31="","",COUNTIFS('Trade Log'!$B$3:$B$152,$A31,'Trade Log'!$AC$3:$AC$152,0))</f>
        <v/>
      </c>
      <c r="E31" s="12">
        <f>IF($A31="","",SUMIFS('Trade Log'!$AA$3:$AA$152,'Trade Log'!$B$3:$B$152,$A31))</f>
        <v/>
      </c>
      <c r="F31" s="11">
        <f>IFERROR(E31/Dashboard!$B$4,"")</f>
        <v/>
      </c>
      <c r="G31" s="12">
        <f>IF($A31="","",Dashboard!$B$4+SUMIFS('Trade Log'!$AA$3:$AA$152,'Trade Log'!$B$3:$B$152,"&lt;="&amp;$A31))</f>
        <v/>
      </c>
      <c r="H31" s="12">
        <f>IF($A31="","",MIN(Dashboard!$B$7,MAX(IF(H30="",Dashboard!$B$4,H30),G31)))</f>
        <v/>
      </c>
      <c r="I31" s="12">
        <f>IF($A31="","",H31-Dashboard!$B$5)</f>
        <v/>
      </c>
      <c r="J31" s="12">
        <f>IF($A31="","",G31-I31)</f>
        <v/>
      </c>
      <c r="K31" s="10">
        <f>IF($A31="","",IF(G31&lt;I31,"BREACH","ok"))</f>
        <v/>
      </c>
    </row>
    <row r="32">
      <c r="A32" s="18" t="n"/>
      <c r="B32" s="10">
        <f>IF($A32="","",COUNTIFS('Trade Log'!$B$3:$B$152,$A32))</f>
        <v/>
      </c>
      <c r="C32" s="10">
        <f>IF($A32="","",COUNTIFS('Trade Log'!$B$3:$B$152,$A32,'Trade Log'!$AC$3:$AC$152,1))</f>
        <v/>
      </c>
      <c r="D32" s="10">
        <f>IF($A32="","",COUNTIFS('Trade Log'!$B$3:$B$152,$A32,'Trade Log'!$AC$3:$AC$152,0))</f>
        <v/>
      </c>
      <c r="E32" s="12">
        <f>IF($A32="","",SUMIFS('Trade Log'!$AA$3:$AA$152,'Trade Log'!$B$3:$B$152,$A32))</f>
        <v/>
      </c>
      <c r="F32" s="11">
        <f>IFERROR(E32/Dashboard!$B$4,"")</f>
        <v/>
      </c>
      <c r="G32" s="12">
        <f>IF($A32="","",Dashboard!$B$4+SUMIFS('Trade Log'!$AA$3:$AA$152,'Trade Log'!$B$3:$B$152,"&lt;="&amp;$A32))</f>
        <v/>
      </c>
      <c r="H32" s="12">
        <f>IF($A32="","",MIN(Dashboard!$B$7,MAX(IF(H31="",Dashboard!$B$4,H31),G32)))</f>
        <v/>
      </c>
      <c r="I32" s="12">
        <f>IF($A32="","",H32-Dashboard!$B$5)</f>
        <v/>
      </c>
      <c r="J32" s="12">
        <f>IF($A32="","",G32-I32)</f>
        <v/>
      </c>
      <c r="K32" s="10">
        <f>IF($A32="","",IF(G32&lt;I32,"BREACH","ok"))</f>
        <v/>
      </c>
    </row>
    <row r="33">
      <c r="A33" s="18" t="n"/>
      <c r="B33" s="10">
        <f>IF($A33="","",COUNTIFS('Trade Log'!$B$3:$B$152,$A33))</f>
        <v/>
      </c>
      <c r="C33" s="10">
        <f>IF($A33="","",COUNTIFS('Trade Log'!$B$3:$B$152,$A33,'Trade Log'!$AC$3:$AC$152,1))</f>
        <v/>
      </c>
      <c r="D33" s="10">
        <f>IF($A33="","",COUNTIFS('Trade Log'!$B$3:$B$152,$A33,'Trade Log'!$AC$3:$AC$152,0))</f>
        <v/>
      </c>
      <c r="E33" s="12">
        <f>IF($A33="","",SUMIFS('Trade Log'!$AA$3:$AA$152,'Trade Log'!$B$3:$B$152,$A33))</f>
        <v/>
      </c>
      <c r="F33" s="11">
        <f>IFERROR(E33/Dashboard!$B$4,"")</f>
        <v/>
      </c>
      <c r="G33" s="12">
        <f>IF($A33="","",Dashboard!$B$4+SUMIFS('Trade Log'!$AA$3:$AA$152,'Trade Log'!$B$3:$B$152,"&lt;="&amp;$A33))</f>
        <v/>
      </c>
      <c r="H33" s="12">
        <f>IF($A33="","",MIN(Dashboard!$B$7,MAX(IF(H32="",Dashboard!$B$4,H32),G33)))</f>
        <v/>
      </c>
      <c r="I33" s="12">
        <f>IF($A33="","",H33-Dashboard!$B$5)</f>
        <v/>
      </c>
      <c r="J33" s="12">
        <f>IF($A33="","",G33-I33)</f>
        <v/>
      </c>
      <c r="K33" s="10">
        <f>IF($A33="","",IF(G33&lt;I33,"BREACH","ok"))</f>
        <v/>
      </c>
    </row>
    <row r="34">
      <c r="A34" s="18" t="n"/>
      <c r="B34" s="10">
        <f>IF($A34="","",COUNTIFS('Trade Log'!$B$3:$B$152,$A34))</f>
        <v/>
      </c>
      <c r="C34" s="10">
        <f>IF($A34="","",COUNTIFS('Trade Log'!$B$3:$B$152,$A34,'Trade Log'!$AC$3:$AC$152,1))</f>
        <v/>
      </c>
      <c r="D34" s="10">
        <f>IF($A34="","",COUNTIFS('Trade Log'!$B$3:$B$152,$A34,'Trade Log'!$AC$3:$AC$152,0))</f>
        <v/>
      </c>
      <c r="E34" s="12">
        <f>IF($A34="","",SUMIFS('Trade Log'!$AA$3:$AA$152,'Trade Log'!$B$3:$B$152,$A34))</f>
        <v/>
      </c>
      <c r="F34" s="11">
        <f>IFERROR(E34/Dashboard!$B$4,"")</f>
        <v/>
      </c>
      <c r="G34" s="12">
        <f>IF($A34="","",Dashboard!$B$4+SUMIFS('Trade Log'!$AA$3:$AA$152,'Trade Log'!$B$3:$B$152,"&lt;="&amp;$A34))</f>
        <v/>
      </c>
      <c r="H34" s="12">
        <f>IF($A34="","",MIN(Dashboard!$B$7,MAX(IF(H33="",Dashboard!$B$4,H33),G34)))</f>
        <v/>
      </c>
      <c r="I34" s="12">
        <f>IF($A34="","",H34-Dashboard!$B$5)</f>
        <v/>
      </c>
      <c r="J34" s="12">
        <f>IF($A34="","",G34-I34)</f>
        <v/>
      </c>
      <c r="K34" s="10">
        <f>IF($A34="","",IF(G34&lt;I34,"BREACH","ok"))</f>
        <v/>
      </c>
    </row>
    <row r="35">
      <c r="A35" s="18" t="n"/>
      <c r="B35" s="10">
        <f>IF($A35="","",COUNTIFS('Trade Log'!$B$3:$B$152,$A35))</f>
        <v/>
      </c>
      <c r="C35" s="10">
        <f>IF($A35="","",COUNTIFS('Trade Log'!$B$3:$B$152,$A35,'Trade Log'!$AC$3:$AC$152,1))</f>
        <v/>
      </c>
      <c r="D35" s="10">
        <f>IF($A35="","",COUNTIFS('Trade Log'!$B$3:$B$152,$A35,'Trade Log'!$AC$3:$AC$152,0))</f>
        <v/>
      </c>
      <c r="E35" s="12">
        <f>IF($A35="","",SUMIFS('Trade Log'!$AA$3:$AA$152,'Trade Log'!$B$3:$B$152,$A35))</f>
        <v/>
      </c>
      <c r="F35" s="11">
        <f>IFERROR(E35/Dashboard!$B$4,"")</f>
        <v/>
      </c>
      <c r="G35" s="12">
        <f>IF($A35="","",Dashboard!$B$4+SUMIFS('Trade Log'!$AA$3:$AA$152,'Trade Log'!$B$3:$B$152,"&lt;="&amp;$A35))</f>
        <v/>
      </c>
      <c r="H35" s="12">
        <f>IF($A35="","",MIN(Dashboard!$B$7,MAX(IF(H34="",Dashboard!$B$4,H34),G35)))</f>
        <v/>
      </c>
      <c r="I35" s="12">
        <f>IF($A35="","",H35-Dashboard!$B$5)</f>
        <v/>
      </c>
      <c r="J35" s="12">
        <f>IF($A35="","",G35-I35)</f>
        <v/>
      </c>
      <c r="K35" s="10">
        <f>IF($A35="","",IF(G35&lt;I35,"BREACH","ok"))</f>
        <v/>
      </c>
    </row>
    <row r="36">
      <c r="A36" s="18" t="n"/>
      <c r="B36" s="10">
        <f>IF($A36="","",COUNTIFS('Trade Log'!$B$3:$B$152,$A36))</f>
        <v/>
      </c>
      <c r="C36" s="10">
        <f>IF($A36="","",COUNTIFS('Trade Log'!$B$3:$B$152,$A36,'Trade Log'!$AC$3:$AC$152,1))</f>
        <v/>
      </c>
      <c r="D36" s="10">
        <f>IF($A36="","",COUNTIFS('Trade Log'!$B$3:$B$152,$A36,'Trade Log'!$AC$3:$AC$152,0))</f>
        <v/>
      </c>
      <c r="E36" s="12">
        <f>IF($A36="","",SUMIFS('Trade Log'!$AA$3:$AA$152,'Trade Log'!$B$3:$B$152,$A36))</f>
        <v/>
      </c>
      <c r="F36" s="11">
        <f>IFERROR(E36/Dashboard!$B$4,"")</f>
        <v/>
      </c>
      <c r="G36" s="12">
        <f>IF($A36="","",Dashboard!$B$4+SUMIFS('Trade Log'!$AA$3:$AA$152,'Trade Log'!$B$3:$B$152,"&lt;="&amp;$A36))</f>
        <v/>
      </c>
      <c r="H36" s="12">
        <f>IF($A36="","",MIN(Dashboard!$B$7,MAX(IF(H35="",Dashboard!$B$4,H35),G36)))</f>
        <v/>
      </c>
      <c r="I36" s="12">
        <f>IF($A36="","",H36-Dashboard!$B$5)</f>
        <v/>
      </c>
      <c r="J36" s="12">
        <f>IF($A36="","",G36-I36)</f>
        <v/>
      </c>
      <c r="K36" s="10">
        <f>IF($A36="","",IF(G36&lt;I36,"BREACH","ok"))</f>
        <v/>
      </c>
    </row>
    <row r="37">
      <c r="A37" s="18" t="n"/>
      <c r="B37" s="10">
        <f>IF($A37="","",COUNTIFS('Trade Log'!$B$3:$B$152,$A37))</f>
        <v/>
      </c>
      <c r="C37" s="10">
        <f>IF($A37="","",COUNTIFS('Trade Log'!$B$3:$B$152,$A37,'Trade Log'!$AC$3:$AC$152,1))</f>
        <v/>
      </c>
      <c r="D37" s="10">
        <f>IF($A37="","",COUNTIFS('Trade Log'!$B$3:$B$152,$A37,'Trade Log'!$AC$3:$AC$152,0))</f>
        <v/>
      </c>
      <c r="E37" s="12">
        <f>IF($A37="","",SUMIFS('Trade Log'!$AA$3:$AA$152,'Trade Log'!$B$3:$B$152,$A37))</f>
        <v/>
      </c>
      <c r="F37" s="11">
        <f>IFERROR(E37/Dashboard!$B$4,"")</f>
        <v/>
      </c>
      <c r="G37" s="12">
        <f>IF($A37="","",Dashboard!$B$4+SUMIFS('Trade Log'!$AA$3:$AA$152,'Trade Log'!$B$3:$B$152,"&lt;="&amp;$A37))</f>
        <v/>
      </c>
      <c r="H37" s="12">
        <f>IF($A37="","",MIN(Dashboard!$B$7,MAX(IF(H36="",Dashboard!$B$4,H36),G37)))</f>
        <v/>
      </c>
      <c r="I37" s="12">
        <f>IF($A37="","",H37-Dashboard!$B$5)</f>
        <v/>
      </c>
      <c r="J37" s="12">
        <f>IF($A37="","",G37-I37)</f>
        <v/>
      </c>
      <c r="K37" s="10">
        <f>IF($A37="","",IF(G37&lt;I37,"BREACH","ok"))</f>
        <v/>
      </c>
    </row>
    <row r="38">
      <c r="A38" s="18" t="n"/>
      <c r="B38" s="10">
        <f>IF($A38="","",COUNTIFS('Trade Log'!$B$3:$B$152,$A38))</f>
        <v/>
      </c>
      <c r="C38" s="10">
        <f>IF($A38="","",COUNTIFS('Trade Log'!$B$3:$B$152,$A38,'Trade Log'!$AC$3:$AC$152,1))</f>
        <v/>
      </c>
      <c r="D38" s="10">
        <f>IF($A38="","",COUNTIFS('Trade Log'!$B$3:$B$152,$A38,'Trade Log'!$AC$3:$AC$152,0))</f>
        <v/>
      </c>
      <c r="E38" s="12">
        <f>IF($A38="","",SUMIFS('Trade Log'!$AA$3:$AA$152,'Trade Log'!$B$3:$B$152,$A38))</f>
        <v/>
      </c>
      <c r="F38" s="11">
        <f>IFERROR(E38/Dashboard!$B$4,"")</f>
        <v/>
      </c>
      <c r="G38" s="12">
        <f>IF($A38="","",Dashboard!$B$4+SUMIFS('Trade Log'!$AA$3:$AA$152,'Trade Log'!$B$3:$B$152,"&lt;="&amp;$A38))</f>
        <v/>
      </c>
      <c r="H38" s="12">
        <f>IF($A38="","",MIN(Dashboard!$B$7,MAX(IF(H37="",Dashboard!$B$4,H37),G38)))</f>
        <v/>
      </c>
      <c r="I38" s="12">
        <f>IF($A38="","",H38-Dashboard!$B$5)</f>
        <v/>
      </c>
      <c r="J38" s="12">
        <f>IF($A38="","",G38-I38)</f>
        <v/>
      </c>
      <c r="K38" s="10">
        <f>IF($A38="","",IF(G38&lt;I38,"BREACH","ok"))</f>
        <v/>
      </c>
    </row>
    <row r="39">
      <c r="A39" s="18" t="n"/>
      <c r="B39" s="10">
        <f>IF($A39="","",COUNTIFS('Trade Log'!$B$3:$B$152,$A39))</f>
        <v/>
      </c>
      <c r="C39" s="10">
        <f>IF($A39="","",COUNTIFS('Trade Log'!$B$3:$B$152,$A39,'Trade Log'!$AC$3:$AC$152,1))</f>
        <v/>
      </c>
      <c r="D39" s="10">
        <f>IF($A39="","",COUNTIFS('Trade Log'!$B$3:$B$152,$A39,'Trade Log'!$AC$3:$AC$152,0))</f>
        <v/>
      </c>
      <c r="E39" s="12">
        <f>IF($A39="","",SUMIFS('Trade Log'!$AA$3:$AA$152,'Trade Log'!$B$3:$B$152,$A39))</f>
        <v/>
      </c>
      <c r="F39" s="11">
        <f>IFERROR(E39/Dashboard!$B$4,"")</f>
        <v/>
      </c>
      <c r="G39" s="12">
        <f>IF($A39="","",Dashboard!$B$4+SUMIFS('Trade Log'!$AA$3:$AA$152,'Trade Log'!$B$3:$B$152,"&lt;="&amp;$A39))</f>
        <v/>
      </c>
      <c r="H39" s="12">
        <f>IF($A39="","",MIN(Dashboard!$B$7,MAX(IF(H38="",Dashboard!$B$4,H38),G39)))</f>
        <v/>
      </c>
      <c r="I39" s="12">
        <f>IF($A39="","",H39-Dashboard!$B$5)</f>
        <v/>
      </c>
      <c r="J39" s="12">
        <f>IF($A39="","",G39-I39)</f>
        <v/>
      </c>
      <c r="K39" s="10">
        <f>IF($A39="","",IF(G39&lt;I39,"BREACH","ok"))</f>
        <v/>
      </c>
    </row>
    <row r="40">
      <c r="A40" s="18" t="n"/>
      <c r="B40" s="10">
        <f>IF($A40="","",COUNTIFS('Trade Log'!$B$3:$B$152,$A40))</f>
        <v/>
      </c>
      <c r="C40" s="10">
        <f>IF($A40="","",COUNTIFS('Trade Log'!$B$3:$B$152,$A40,'Trade Log'!$AC$3:$AC$152,1))</f>
        <v/>
      </c>
      <c r="D40" s="10">
        <f>IF($A40="","",COUNTIFS('Trade Log'!$B$3:$B$152,$A40,'Trade Log'!$AC$3:$AC$152,0))</f>
        <v/>
      </c>
      <c r="E40" s="12">
        <f>IF($A40="","",SUMIFS('Trade Log'!$AA$3:$AA$152,'Trade Log'!$B$3:$B$152,$A40))</f>
        <v/>
      </c>
      <c r="F40" s="11">
        <f>IFERROR(E40/Dashboard!$B$4,"")</f>
        <v/>
      </c>
      <c r="G40" s="12">
        <f>IF($A40="","",Dashboard!$B$4+SUMIFS('Trade Log'!$AA$3:$AA$152,'Trade Log'!$B$3:$B$152,"&lt;="&amp;$A40))</f>
        <v/>
      </c>
      <c r="H40" s="12">
        <f>IF($A40="","",MIN(Dashboard!$B$7,MAX(IF(H39="",Dashboard!$B$4,H39),G40)))</f>
        <v/>
      </c>
      <c r="I40" s="12">
        <f>IF($A40="","",H40-Dashboard!$B$5)</f>
        <v/>
      </c>
      <c r="J40" s="12">
        <f>IF($A40="","",G40-I40)</f>
        <v/>
      </c>
      <c r="K40" s="10">
        <f>IF($A40="","",IF(G40&lt;I40,"BREACH","ok"))</f>
        <v/>
      </c>
    </row>
    <row r="41">
      <c r="A41" s="18" t="n"/>
      <c r="B41" s="10">
        <f>IF($A41="","",COUNTIFS('Trade Log'!$B$3:$B$152,$A41))</f>
        <v/>
      </c>
      <c r="C41" s="10">
        <f>IF($A41="","",COUNTIFS('Trade Log'!$B$3:$B$152,$A41,'Trade Log'!$AC$3:$AC$152,1))</f>
        <v/>
      </c>
      <c r="D41" s="10">
        <f>IF($A41="","",COUNTIFS('Trade Log'!$B$3:$B$152,$A41,'Trade Log'!$AC$3:$AC$152,0))</f>
        <v/>
      </c>
      <c r="E41" s="12">
        <f>IF($A41="","",SUMIFS('Trade Log'!$AA$3:$AA$152,'Trade Log'!$B$3:$B$152,$A41))</f>
        <v/>
      </c>
      <c r="F41" s="11">
        <f>IFERROR(E41/Dashboard!$B$4,"")</f>
        <v/>
      </c>
      <c r="G41" s="12">
        <f>IF($A41="","",Dashboard!$B$4+SUMIFS('Trade Log'!$AA$3:$AA$152,'Trade Log'!$B$3:$B$152,"&lt;="&amp;$A41))</f>
        <v/>
      </c>
      <c r="H41" s="12">
        <f>IF($A41="","",MIN(Dashboard!$B$7,MAX(IF(H40="",Dashboard!$B$4,H40),G41)))</f>
        <v/>
      </c>
      <c r="I41" s="12">
        <f>IF($A41="","",H41-Dashboard!$B$5)</f>
        <v/>
      </c>
      <c r="J41" s="12">
        <f>IF($A41="","",G41-I41)</f>
        <v/>
      </c>
      <c r="K41" s="10">
        <f>IF($A41="","",IF(G41&lt;I41,"BREACH","ok"))</f>
        <v/>
      </c>
    </row>
    <row r="42">
      <c r="A42" s="18" t="n"/>
      <c r="B42" s="10">
        <f>IF($A42="","",COUNTIFS('Trade Log'!$B$3:$B$152,$A42))</f>
        <v/>
      </c>
      <c r="C42" s="10">
        <f>IF($A42="","",COUNTIFS('Trade Log'!$B$3:$B$152,$A42,'Trade Log'!$AC$3:$AC$152,1))</f>
        <v/>
      </c>
      <c r="D42" s="10">
        <f>IF($A42="","",COUNTIFS('Trade Log'!$B$3:$B$152,$A42,'Trade Log'!$AC$3:$AC$152,0))</f>
        <v/>
      </c>
      <c r="E42" s="12">
        <f>IF($A42="","",SUMIFS('Trade Log'!$AA$3:$AA$152,'Trade Log'!$B$3:$B$152,$A42))</f>
        <v/>
      </c>
      <c r="F42" s="11">
        <f>IFERROR(E42/Dashboard!$B$4,"")</f>
        <v/>
      </c>
      <c r="G42" s="12">
        <f>IF($A42="","",Dashboard!$B$4+SUMIFS('Trade Log'!$AA$3:$AA$152,'Trade Log'!$B$3:$B$152,"&lt;="&amp;$A42))</f>
        <v/>
      </c>
      <c r="H42" s="12">
        <f>IF($A42="","",MIN(Dashboard!$B$7,MAX(IF(H41="",Dashboard!$B$4,H41),G42)))</f>
        <v/>
      </c>
      <c r="I42" s="12">
        <f>IF($A42="","",H42-Dashboard!$B$5)</f>
        <v/>
      </c>
      <c r="J42" s="12">
        <f>IF($A42="","",G42-I42)</f>
        <v/>
      </c>
      <c r="K42" s="10">
        <f>IF($A42="","",IF(G42&lt;I42,"BREACH","ok"))</f>
        <v/>
      </c>
    </row>
    <row r="43">
      <c r="A43" s="18" t="n"/>
      <c r="B43" s="10">
        <f>IF($A43="","",COUNTIFS('Trade Log'!$B$3:$B$152,$A43))</f>
        <v/>
      </c>
      <c r="C43" s="10">
        <f>IF($A43="","",COUNTIFS('Trade Log'!$B$3:$B$152,$A43,'Trade Log'!$AC$3:$AC$152,1))</f>
        <v/>
      </c>
      <c r="D43" s="10">
        <f>IF($A43="","",COUNTIFS('Trade Log'!$B$3:$B$152,$A43,'Trade Log'!$AC$3:$AC$152,0))</f>
        <v/>
      </c>
      <c r="E43" s="12">
        <f>IF($A43="","",SUMIFS('Trade Log'!$AA$3:$AA$152,'Trade Log'!$B$3:$B$152,$A43))</f>
        <v/>
      </c>
      <c r="F43" s="11">
        <f>IFERROR(E43/Dashboard!$B$4,"")</f>
        <v/>
      </c>
      <c r="G43" s="12">
        <f>IF($A43="","",Dashboard!$B$4+SUMIFS('Trade Log'!$AA$3:$AA$152,'Trade Log'!$B$3:$B$152,"&lt;="&amp;$A43))</f>
        <v/>
      </c>
      <c r="H43" s="12">
        <f>IF($A43="","",MIN(Dashboard!$B$7,MAX(IF(H42="",Dashboard!$B$4,H42),G43)))</f>
        <v/>
      </c>
      <c r="I43" s="12">
        <f>IF($A43="","",H43-Dashboard!$B$5)</f>
        <v/>
      </c>
      <c r="J43" s="12">
        <f>IF($A43="","",G43-I43)</f>
        <v/>
      </c>
      <c r="K43" s="10">
        <f>IF($A43="","",IF(G43&lt;I43,"BREACH","ok"))</f>
        <v/>
      </c>
    </row>
    <row r="44">
      <c r="A44" s="18" t="n"/>
      <c r="B44" s="10">
        <f>IF($A44="","",COUNTIFS('Trade Log'!$B$3:$B$152,$A44))</f>
        <v/>
      </c>
      <c r="C44" s="10">
        <f>IF($A44="","",COUNTIFS('Trade Log'!$B$3:$B$152,$A44,'Trade Log'!$AC$3:$AC$152,1))</f>
        <v/>
      </c>
      <c r="D44" s="10">
        <f>IF($A44="","",COUNTIFS('Trade Log'!$B$3:$B$152,$A44,'Trade Log'!$AC$3:$AC$152,0))</f>
        <v/>
      </c>
      <c r="E44" s="12">
        <f>IF($A44="","",SUMIFS('Trade Log'!$AA$3:$AA$152,'Trade Log'!$B$3:$B$152,$A44))</f>
        <v/>
      </c>
      <c r="F44" s="11">
        <f>IFERROR(E44/Dashboard!$B$4,"")</f>
        <v/>
      </c>
      <c r="G44" s="12">
        <f>IF($A44="","",Dashboard!$B$4+SUMIFS('Trade Log'!$AA$3:$AA$152,'Trade Log'!$B$3:$B$152,"&lt;="&amp;$A44))</f>
        <v/>
      </c>
      <c r="H44" s="12">
        <f>IF($A44="","",MIN(Dashboard!$B$7,MAX(IF(H43="",Dashboard!$B$4,H43),G44)))</f>
        <v/>
      </c>
      <c r="I44" s="12">
        <f>IF($A44="","",H44-Dashboard!$B$5)</f>
        <v/>
      </c>
      <c r="J44" s="12">
        <f>IF($A44="","",G44-I44)</f>
        <v/>
      </c>
      <c r="K44" s="10">
        <f>IF($A44="","",IF(G44&lt;I44,"BREACH","ok"))</f>
        <v/>
      </c>
    </row>
    <row r="45">
      <c r="A45" s="18" t="n"/>
      <c r="B45" s="10">
        <f>IF($A45="","",COUNTIFS('Trade Log'!$B$3:$B$152,$A45))</f>
        <v/>
      </c>
      <c r="C45" s="10">
        <f>IF($A45="","",COUNTIFS('Trade Log'!$B$3:$B$152,$A45,'Trade Log'!$AC$3:$AC$152,1))</f>
        <v/>
      </c>
      <c r="D45" s="10">
        <f>IF($A45="","",COUNTIFS('Trade Log'!$B$3:$B$152,$A45,'Trade Log'!$AC$3:$AC$152,0))</f>
        <v/>
      </c>
      <c r="E45" s="12">
        <f>IF($A45="","",SUMIFS('Trade Log'!$AA$3:$AA$152,'Trade Log'!$B$3:$B$152,$A45))</f>
        <v/>
      </c>
      <c r="F45" s="11">
        <f>IFERROR(E45/Dashboard!$B$4,"")</f>
        <v/>
      </c>
      <c r="G45" s="12">
        <f>IF($A45="","",Dashboard!$B$4+SUMIFS('Trade Log'!$AA$3:$AA$152,'Trade Log'!$B$3:$B$152,"&lt;="&amp;$A45))</f>
        <v/>
      </c>
      <c r="H45" s="12">
        <f>IF($A45="","",MIN(Dashboard!$B$7,MAX(IF(H44="",Dashboard!$B$4,H44),G45)))</f>
        <v/>
      </c>
      <c r="I45" s="12">
        <f>IF($A45="","",H45-Dashboard!$B$5)</f>
        <v/>
      </c>
      <c r="J45" s="12">
        <f>IF($A45="","",G45-I45)</f>
        <v/>
      </c>
      <c r="K45" s="10">
        <f>IF($A45="","",IF(G45&lt;I45,"BREACH","ok"))</f>
        <v/>
      </c>
    </row>
    <row r="46">
      <c r="A46" s="18" t="n"/>
      <c r="B46" s="10">
        <f>IF($A46="","",COUNTIFS('Trade Log'!$B$3:$B$152,$A46))</f>
        <v/>
      </c>
      <c r="C46" s="10">
        <f>IF($A46="","",COUNTIFS('Trade Log'!$B$3:$B$152,$A46,'Trade Log'!$AC$3:$AC$152,1))</f>
        <v/>
      </c>
      <c r="D46" s="10">
        <f>IF($A46="","",COUNTIFS('Trade Log'!$B$3:$B$152,$A46,'Trade Log'!$AC$3:$AC$152,0))</f>
        <v/>
      </c>
      <c r="E46" s="12">
        <f>IF($A46="","",SUMIFS('Trade Log'!$AA$3:$AA$152,'Trade Log'!$B$3:$B$152,$A46))</f>
        <v/>
      </c>
      <c r="F46" s="11">
        <f>IFERROR(E46/Dashboard!$B$4,"")</f>
        <v/>
      </c>
      <c r="G46" s="12">
        <f>IF($A46="","",Dashboard!$B$4+SUMIFS('Trade Log'!$AA$3:$AA$152,'Trade Log'!$B$3:$B$152,"&lt;="&amp;$A46))</f>
        <v/>
      </c>
      <c r="H46" s="12">
        <f>IF($A46="","",MIN(Dashboard!$B$7,MAX(IF(H45="",Dashboard!$B$4,H45),G46)))</f>
        <v/>
      </c>
      <c r="I46" s="12">
        <f>IF($A46="","",H46-Dashboard!$B$5)</f>
        <v/>
      </c>
      <c r="J46" s="12">
        <f>IF($A46="","",G46-I46)</f>
        <v/>
      </c>
      <c r="K46" s="10">
        <f>IF($A46="","",IF(G46&lt;I46,"BREACH","ok"))</f>
        <v/>
      </c>
    </row>
    <row r="47">
      <c r="A47" s="18" t="n"/>
      <c r="B47" s="10">
        <f>IF($A47="","",COUNTIFS('Trade Log'!$B$3:$B$152,$A47))</f>
        <v/>
      </c>
      <c r="C47" s="10">
        <f>IF($A47="","",COUNTIFS('Trade Log'!$B$3:$B$152,$A47,'Trade Log'!$AC$3:$AC$152,1))</f>
        <v/>
      </c>
      <c r="D47" s="10">
        <f>IF($A47="","",COUNTIFS('Trade Log'!$B$3:$B$152,$A47,'Trade Log'!$AC$3:$AC$152,0))</f>
        <v/>
      </c>
      <c r="E47" s="12">
        <f>IF($A47="","",SUMIFS('Trade Log'!$AA$3:$AA$152,'Trade Log'!$B$3:$B$152,$A47))</f>
        <v/>
      </c>
      <c r="F47" s="11">
        <f>IFERROR(E47/Dashboard!$B$4,"")</f>
        <v/>
      </c>
      <c r="G47" s="12">
        <f>IF($A47="","",Dashboard!$B$4+SUMIFS('Trade Log'!$AA$3:$AA$152,'Trade Log'!$B$3:$B$152,"&lt;="&amp;$A47))</f>
        <v/>
      </c>
      <c r="H47" s="12">
        <f>IF($A47="","",MIN(Dashboard!$B$7,MAX(IF(H46="",Dashboard!$B$4,H46),G47)))</f>
        <v/>
      </c>
      <c r="I47" s="12">
        <f>IF($A47="","",H47-Dashboard!$B$5)</f>
        <v/>
      </c>
      <c r="J47" s="12">
        <f>IF($A47="","",G47-I47)</f>
        <v/>
      </c>
      <c r="K47" s="10">
        <f>IF($A47="","",IF(G47&lt;I47,"BREACH","ok"))</f>
        <v/>
      </c>
    </row>
    <row r="48">
      <c r="A48" s="18" t="n"/>
      <c r="B48" s="10">
        <f>IF($A48="","",COUNTIFS('Trade Log'!$B$3:$B$152,$A48))</f>
        <v/>
      </c>
      <c r="C48" s="10">
        <f>IF($A48="","",COUNTIFS('Trade Log'!$B$3:$B$152,$A48,'Trade Log'!$AC$3:$AC$152,1))</f>
        <v/>
      </c>
      <c r="D48" s="10">
        <f>IF($A48="","",COUNTIFS('Trade Log'!$B$3:$B$152,$A48,'Trade Log'!$AC$3:$AC$152,0))</f>
        <v/>
      </c>
      <c r="E48" s="12">
        <f>IF($A48="","",SUMIFS('Trade Log'!$AA$3:$AA$152,'Trade Log'!$B$3:$B$152,$A48))</f>
        <v/>
      </c>
      <c r="F48" s="11">
        <f>IFERROR(E48/Dashboard!$B$4,"")</f>
        <v/>
      </c>
      <c r="G48" s="12">
        <f>IF($A48="","",Dashboard!$B$4+SUMIFS('Trade Log'!$AA$3:$AA$152,'Trade Log'!$B$3:$B$152,"&lt;="&amp;$A48))</f>
        <v/>
      </c>
      <c r="H48" s="12">
        <f>IF($A48="","",MIN(Dashboard!$B$7,MAX(IF(H47="",Dashboard!$B$4,H47),G48)))</f>
        <v/>
      </c>
      <c r="I48" s="12">
        <f>IF($A48="","",H48-Dashboard!$B$5)</f>
        <v/>
      </c>
      <c r="J48" s="12">
        <f>IF($A48="","",G48-I48)</f>
        <v/>
      </c>
      <c r="K48" s="10">
        <f>IF($A48="","",IF(G48&lt;I48,"BREACH","ok"))</f>
        <v/>
      </c>
    </row>
    <row r="49">
      <c r="A49" s="18" t="n"/>
      <c r="B49" s="10">
        <f>IF($A49="","",COUNTIFS('Trade Log'!$B$3:$B$152,$A49))</f>
        <v/>
      </c>
      <c r="C49" s="10">
        <f>IF($A49="","",COUNTIFS('Trade Log'!$B$3:$B$152,$A49,'Trade Log'!$AC$3:$AC$152,1))</f>
        <v/>
      </c>
      <c r="D49" s="10">
        <f>IF($A49="","",COUNTIFS('Trade Log'!$B$3:$B$152,$A49,'Trade Log'!$AC$3:$AC$152,0))</f>
        <v/>
      </c>
      <c r="E49" s="12">
        <f>IF($A49="","",SUMIFS('Trade Log'!$AA$3:$AA$152,'Trade Log'!$B$3:$B$152,$A49))</f>
        <v/>
      </c>
      <c r="F49" s="11">
        <f>IFERROR(E49/Dashboard!$B$4,"")</f>
        <v/>
      </c>
      <c r="G49" s="12">
        <f>IF($A49="","",Dashboard!$B$4+SUMIFS('Trade Log'!$AA$3:$AA$152,'Trade Log'!$B$3:$B$152,"&lt;="&amp;$A49))</f>
        <v/>
      </c>
      <c r="H49" s="12">
        <f>IF($A49="","",MIN(Dashboard!$B$7,MAX(IF(H48="",Dashboard!$B$4,H48),G49)))</f>
        <v/>
      </c>
      <c r="I49" s="12">
        <f>IF($A49="","",H49-Dashboard!$B$5)</f>
        <v/>
      </c>
      <c r="J49" s="12">
        <f>IF($A49="","",G49-I49)</f>
        <v/>
      </c>
      <c r="K49" s="10">
        <f>IF($A49="","",IF(G49&lt;I49,"BREACH","ok"))</f>
        <v/>
      </c>
    </row>
    <row r="50">
      <c r="A50" s="18" t="n"/>
      <c r="B50" s="10">
        <f>IF($A50="","",COUNTIFS('Trade Log'!$B$3:$B$152,$A50))</f>
        <v/>
      </c>
      <c r="C50" s="10">
        <f>IF($A50="","",COUNTIFS('Trade Log'!$B$3:$B$152,$A50,'Trade Log'!$AC$3:$AC$152,1))</f>
        <v/>
      </c>
      <c r="D50" s="10">
        <f>IF($A50="","",COUNTIFS('Trade Log'!$B$3:$B$152,$A50,'Trade Log'!$AC$3:$AC$152,0))</f>
        <v/>
      </c>
      <c r="E50" s="12">
        <f>IF($A50="","",SUMIFS('Trade Log'!$AA$3:$AA$152,'Trade Log'!$B$3:$B$152,$A50))</f>
        <v/>
      </c>
      <c r="F50" s="11">
        <f>IFERROR(E50/Dashboard!$B$4,"")</f>
        <v/>
      </c>
      <c r="G50" s="12">
        <f>IF($A50="","",Dashboard!$B$4+SUMIFS('Trade Log'!$AA$3:$AA$152,'Trade Log'!$B$3:$B$152,"&lt;="&amp;$A50))</f>
        <v/>
      </c>
      <c r="H50" s="12">
        <f>IF($A50="","",MIN(Dashboard!$B$7,MAX(IF(H49="",Dashboard!$B$4,H49),G50)))</f>
        <v/>
      </c>
      <c r="I50" s="12">
        <f>IF($A50="","",H50-Dashboard!$B$5)</f>
        <v/>
      </c>
      <c r="J50" s="12">
        <f>IF($A50="","",G50-I50)</f>
        <v/>
      </c>
      <c r="K50" s="10">
        <f>IF($A50="","",IF(G50&lt;I50,"BREACH","ok"))</f>
        <v/>
      </c>
    </row>
    <row r="51">
      <c r="A51" s="18" t="n"/>
      <c r="B51" s="10">
        <f>IF($A51="","",COUNTIFS('Trade Log'!$B$3:$B$152,$A51))</f>
        <v/>
      </c>
      <c r="C51" s="10">
        <f>IF($A51="","",COUNTIFS('Trade Log'!$B$3:$B$152,$A51,'Trade Log'!$AC$3:$AC$152,1))</f>
        <v/>
      </c>
      <c r="D51" s="10">
        <f>IF($A51="","",COUNTIFS('Trade Log'!$B$3:$B$152,$A51,'Trade Log'!$AC$3:$AC$152,0))</f>
        <v/>
      </c>
      <c r="E51" s="12">
        <f>IF($A51="","",SUMIFS('Trade Log'!$AA$3:$AA$152,'Trade Log'!$B$3:$B$152,$A51))</f>
        <v/>
      </c>
      <c r="F51" s="11">
        <f>IFERROR(E51/Dashboard!$B$4,"")</f>
        <v/>
      </c>
      <c r="G51" s="12">
        <f>IF($A51="","",Dashboard!$B$4+SUMIFS('Trade Log'!$AA$3:$AA$152,'Trade Log'!$B$3:$B$152,"&lt;="&amp;$A51))</f>
        <v/>
      </c>
      <c r="H51" s="12">
        <f>IF($A51="","",MIN(Dashboard!$B$7,MAX(IF(H50="",Dashboard!$B$4,H50),G51)))</f>
        <v/>
      </c>
      <c r="I51" s="12">
        <f>IF($A51="","",H51-Dashboard!$B$5)</f>
        <v/>
      </c>
      <c r="J51" s="12">
        <f>IF($A51="","",G51-I51)</f>
        <v/>
      </c>
      <c r="K51" s="10">
        <f>IF($A51="","",IF(G51&lt;I51,"BREACH","ok"))</f>
        <v/>
      </c>
    </row>
    <row r="52">
      <c r="A52" s="18" t="n"/>
      <c r="B52" s="10">
        <f>IF($A52="","",COUNTIFS('Trade Log'!$B$3:$B$152,$A52))</f>
        <v/>
      </c>
      <c r="C52" s="10">
        <f>IF($A52="","",COUNTIFS('Trade Log'!$B$3:$B$152,$A52,'Trade Log'!$AC$3:$AC$152,1))</f>
        <v/>
      </c>
      <c r="D52" s="10">
        <f>IF($A52="","",COUNTIFS('Trade Log'!$B$3:$B$152,$A52,'Trade Log'!$AC$3:$AC$152,0))</f>
        <v/>
      </c>
      <c r="E52" s="12">
        <f>IF($A52="","",SUMIFS('Trade Log'!$AA$3:$AA$152,'Trade Log'!$B$3:$B$152,$A52))</f>
        <v/>
      </c>
      <c r="F52" s="11">
        <f>IFERROR(E52/Dashboard!$B$4,"")</f>
        <v/>
      </c>
      <c r="G52" s="12">
        <f>IF($A52="","",Dashboard!$B$4+SUMIFS('Trade Log'!$AA$3:$AA$152,'Trade Log'!$B$3:$B$152,"&lt;="&amp;$A52))</f>
        <v/>
      </c>
      <c r="H52" s="12">
        <f>IF($A52="","",MIN(Dashboard!$B$7,MAX(IF(H51="",Dashboard!$B$4,H51),G52)))</f>
        <v/>
      </c>
      <c r="I52" s="12">
        <f>IF($A52="","",H52-Dashboard!$B$5)</f>
        <v/>
      </c>
      <c r="J52" s="12">
        <f>IF($A52="","",G52-I52)</f>
        <v/>
      </c>
      <c r="K52" s="10">
        <f>IF($A52="","",IF(G52&lt;I52,"BREACH","ok"))</f>
        <v/>
      </c>
    </row>
    <row r="53">
      <c r="A53" s="18" t="n"/>
      <c r="B53" s="10">
        <f>IF($A53="","",COUNTIFS('Trade Log'!$B$3:$B$152,$A53))</f>
        <v/>
      </c>
      <c r="C53" s="10">
        <f>IF($A53="","",COUNTIFS('Trade Log'!$B$3:$B$152,$A53,'Trade Log'!$AC$3:$AC$152,1))</f>
        <v/>
      </c>
      <c r="D53" s="10">
        <f>IF($A53="","",COUNTIFS('Trade Log'!$B$3:$B$152,$A53,'Trade Log'!$AC$3:$AC$152,0))</f>
        <v/>
      </c>
      <c r="E53" s="12">
        <f>IF($A53="","",SUMIFS('Trade Log'!$AA$3:$AA$152,'Trade Log'!$B$3:$B$152,$A53))</f>
        <v/>
      </c>
      <c r="F53" s="11">
        <f>IFERROR(E53/Dashboard!$B$4,"")</f>
        <v/>
      </c>
      <c r="G53" s="12">
        <f>IF($A53="","",Dashboard!$B$4+SUMIFS('Trade Log'!$AA$3:$AA$152,'Trade Log'!$B$3:$B$152,"&lt;="&amp;$A53))</f>
        <v/>
      </c>
      <c r="H53" s="12">
        <f>IF($A53="","",MIN(Dashboard!$B$7,MAX(IF(H52="",Dashboard!$B$4,H52),G53)))</f>
        <v/>
      </c>
      <c r="I53" s="12">
        <f>IF($A53="","",H53-Dashboard!$B$5)</f>
        <v/>
      </c>
      <c r="J53" s="12">
        <f>IF($A53="","",G53-I53)</f>
        <v/>
      </c>
      <c r="K53" s="10">
        <f>IF($A53="","",IF(G53&lt;I53,"BREACH","ok"))</f>
        <v/>
      </c>
    </row>
    <row r="54">
      <c r="A54" s="18" t="n"/>
      <c r="B54" s="10">
        <f>IF($A54="","",COUNTIFS('Trade Log'!$B$3:$B$152,$A54))</f>
        <v/>
      </c>
      <c r="C54" s="10">
        <f>IF($A54="","",COUNTIFS('Trade Log'!$B$3:$B$152,$A54,'Trade Log'!$AC$3:$AC$152,1))</f>
        <v/>
      </c>
      <c r="D54" s="10">
        <f>IF($A54="","",COUNTIFS('Trade Log'!$B$3:$B$152,$A54,'Trade Log'!$AC$3:$AC$152,0))</f>
        <v/>
      </c>
      <c r="E54" s="12">
        <f>IF($A54="","",SUMIFS('Trade Log'!$AA$3:$AA$152,'Trade Log'!$B$3:$B$152,$A54))</f>
        <v/>
      </c>
      <c r="F54" s="11">
        <f>IFERROR(E54/Dashboard!$B$4,"")</f>
        <v/>
      </c>
      <c r="G54" s="12">
        <f>IF($A54="","",Dashboard!$B$4+SUMIFS('Trade Log'!$AA$3:$AA$152,'Trade Log'!$B$3:$B$152,"&lt;="&amp;$A54))</f>
        <v/>
      </c>
      <c r="H54" s="12">
        <f>IF($A54="","",MIN(Dashboard!$B$7,MAX(IF(H53="",Dashboard!$B$4,H53),G54)))</f>
        <v/>
      </c>
      <c r="I54" s="12">
        <f>IF($A54="","",H54-Dashboard!$B$5)</f>
        <v/>
      </c>
      <c r="J54" s="12">
        <f>IF($A54="","",G54-I54)</f>
        <v/>
      </c>
      <c r="K54" s="10">
        <f>IF($A54="","",IF(G54&lt;I54,"BREACH","ok"))</f>
        <v/>
      </c>
    </row>
    <row r="55">
      <c r="A55" s="18" t="n"/>
      <c r="B55" s="10">
        <f>IF($A55="","",COUNTIFS('Trade Log'!$B$3:$B$152,$A55))</f>
        <v/>
      </c>
      <c r="C55" s="10">
        <f>IF($A55="","",COUNTIFS('Trade Log'!$B$3:$B$152,$A55,'Trade Log'!$AC$3:$AC$152,1))</f>
        <v/>
      </c>
      <c r="D55" s="10">
        <f>IF($A55="","",COUNTIFS('Trade Log'!$B$3:$B$152,$A55,'Trade Log'!$AC$3:$AC$152,0))</f>
        <v/>
      </c>
      <c r="E55" s="12">
        <f>IF($A55="","",SUMIFS('Trade Log'!$AA$3:$AA$152,'Trade Log'!$B$3:$B$152,$A55))</f>
        <v/>
      </c>
      <c r="F55" s="11">
        <f>IFERROR(E55/Dashboard!$B$4,"")</f>
        <v/>
      </c>
      <c r="G55" s="12">
        <f>IF($A55="","",Dashboard!$B$4+SUMIFS('Trade Log'!$AA$3:$AA$152,'Trade Log'!$B$3:$B$152,"&lt;="&amp;$A55))</f>
        <v/>
      </c>
      <c r="H55" s="12">
        <f>IF($A55="","",MIN(Dashboard!$B$7,MAX(IF(H54="",Dashboard!$B$4,H54),G55)))</f>
        <v/>
      </c>
      <c r="I55" s="12">
        <f>IF($A55="","",H55-Dashboard!$B$5)</f>
        <v/>
      </c>
      <c r="J55" s="12">
        <f>IF($A55="","",G55-I55)</f>
        <v/>
      </c>
      <c r="K55" s="10">
        <f>IF($A55="","",IF(G55&lt;I55,"BREACH","ok"))</f>
        <v/>
      </c>
    </row>
    <row r="56">
      <c r="A56" s="18" t="n"/>
      <c r="B56" s="10">
        <f>IF($A56="","",COUNTIFS('Trade Log'!$B$3:$B$152,$A56))</f>
        <v/>
      </c>
      <c r="C56" s="10">
        <f>IF($A56="","",COUNTIFS('Trade Log'!$B$3:$B$152,$A56,'Trade Log'!$AC$3:$AC$152,1))</f>
        <v/>
      </c>
      <c r="D56" s="10">
        <f>IF($A56="","",COUNTIFS('Trade Log'!$B$3:$B$152,$A56,'Trade Log'!$AC$3:$AC$152,0))</f>
        <v/>
      </c>
      <c r="E56" s="12">
        <f>IF($A56="","",SUMIFS('Trade Log'!$AA$3:$AA$152,'Trade Log'!$B$3:$B$152,$A56))</f>
        <v/>
      </c>
      <c r="F56" s="11">
        <f>IFERROR(E56/Dashboard!$B$4,"")</f>
        <v/>
      </c>
      <c r="G56" s="12">
        <f>IF($A56="","",Dashboard!$B$4+SUMIFS('Trade Log'!$AA$3:$AA$152,'Trade Log'!$B$3:$B$152,"&lt;="&amp;$A56))</f>
        <v/>
      </c>
      <c r="H56" s="12">
        <f>IF($A56="","",MIN(Dashboard!$B$7,MAX(IF(H55="",Dashboard!$B$4,H55),G56)))</f>
        <v/>
      </c>
      <c r="I56" s="12">
        <f>IF($A56="","",H56-Dashboard!$B$5)</f>
        <v/>
      </c>
      <c r="J56" s="12">
        <f>IF($A56="","",G56-I56)</f>
        <v/>
      </c>
      <c r="K56" s="10">
        <f>IF($A56="","",IF(G56&lt;I56,"BREACH","ok"))</f>
        <v/>
      </c>
    </row>
    <row r="57">
      <c r="A57" s="18" t="n"/>
      <c r="B57" s="10">
        <f>IF($A57="","",COUNTIFS('Trade Log'!$B$3:$B$152,$A57))</f>
        <v/>
      </c>
      <c r="C57" s="10">
        <f>IF($A57="","",COUNTIFS('Trade Log'!$B$3:$B$152,$A57,'Trade Log'!$AC$3:$AC$152,1))</f>
        <v/>
      </c>
      <c r="D57" s="10">
        <f>IF($A57="","",COUNTIFS('Trade Log'!$B$3:$B$152,$A57,'Trade Log'!$AC$3:$AC$152,0))</f>
        <v/>
      </c>
      <c r="E57" s="12">
        <f>IF($A57="","",SUMIFS('Trade Log'!$AA$3:$AA$152,'Trade Log'!$B$3:$B$152,$A57))</f>
        <v/>
      </c>
      <c r="F57" s="11">
        <f>IFERROR(E57/Dashboard!$B$4,"")</f>
        <v/>
      </c>
      <c r="G57" s="12">
        <f>IF($A57="","",Dashboard!$B$4+SUMIFS('Trade Log'!$AA$3:$AA$152,'Trade Log'!$B$3:$B$152,"&lt;="&amp;$A57))</f>
        <v/>
      </c>
      <c r="H57" s="12">
        <f>IF($A57="","",MIN(Dashboard!$B$7,MAX(IF(H56="",Dashboard!$B$4,H56),G57)))</f>
        <v/>
      </c>
      <c r="I57" s="12">
        <f>IF($A57="","",H57-Dashboard!$B$5)</f>
        <v/>
      </c>
      <c r="J57" s="12">
        <f>IF($A57="","",G57-I57)</f>
        <v/>
      </c>
      <c r="K57" s="10">
        <f>IF($A57="","",IF(G57&lt;I57,"BREACH","ok"))</f>
        <v/>
      </c>
    </row>
    <row r="58">
      <c r="A58" s="18" t="n"/>
      <c r="B58" s="10">
        <f>IF($A58="","",COUNTIFS('Trade Log'!$B$3:$B$152,$A58))</f>
        <v/>
      </c>
      <c r="C58" s="10">
        <f>IF($A58="","",COUNTIFS('Trade Log'!$B$3:$B$152,$A58,'Trade Log'!$AC$3:$AC$152,1))</f>
        <v/>
      </c>
      <c r="D58" s="10">
        <f>IF($A58="","",COUNTIFS('Trade Log'!$B$3:$B$152,$A58,'Trade Log'!$AC$3:$AC$152,0))</f>
        <v/>
      </c>
      <c r="E58" s="12">
        <f>IF($A58="","",SUMIFS('Trade Log'!$AA$3:$AA$152,'Trade Log'!$B$3:$B$152,$A58))</f>
        <v/>
      </c>
      <c r="F58" s="11">
        <f>IFERROR(E58/Dashboard!$B$4,"")</f>
        <v/>
      </c>
      <c r="G58" s="12">
        <f>IF($A58="","",Dashboard!$B$4+SUMIFS('Trade Log'!$AA$3:$AA$152,'Trade Log'!$B$3:$B$152,"&lt;="&amp;$A58))</f>
        <v/>
      </c>
      <c r="H58" s="12">
        <f>IF($A58="","",MIN(Dashboard!$B$7,MAX(IF(H57="",Dashboard!$B$4,H57),G58)))</f>
        <v/>
      </c>
      <c r="I58" s="12">
        <f>IF($A58="","",H58-Dashboard!$B$5)</f>
        <v/>
      </c>
      <c r="J58" s="12">
        <f>IF($A58="","",G58-I58)</f>
        <v/>
      </c>
      <c r="K58" s="10">
        <f>IF($A58="","",IF(G58&lt;I58,"BREACH","ok"))</f>
        <v/>
      </c>
    </row>
    <row r="59">
      <c r="A59" s="18" t="n"/>
      <c r="B59" s="10">
        <f>IF($A59="","",COUNTIFS('Trade Log'!$B$3:$B$152,$A59))</f>
        <v/>
      </c>
      <c r="C59" s="10">
        <f>IF($A59="","",COUNTIFS('Trade Log'!$B$3:$B$152,$A59,'Trade Log'!$AC$3:$AC$152,1))</f>
        <v/>
      </c>
      <c r="D59" s="10">
        <f>IF($A59="","",COUNTIFS('Trade Log'!$B$3:$B$152,$A59,'Trade Log'!$AC$3:$AC$152,0))</f>
        <v/>
      </c>
      <c r="E59" s="12">
        <f>IF($A59="","",SUMIFS('Trade Log'!$AA$3:$AA$152,'Trade Log'!$B$3:$B$152,$A59))</f>
        <v/>
      </c>
      <c r="F59" s="11">
        <f>IFERROR(E59/Dashboard!$B$4,"")</f>
        <v/>
      </c>
      <c r="G59" s="12">
        <f>IF($A59="","",Dashboard!$B$4+SUMIFS('Trade Log'!$AA$3:$AA$152,'Trade Log'!$B$3:$B$152,"&lt;="&amp;$A59))</f>
        <v/>
      </c>
      <c r="H59" s="12">
        <f>IF($A59="","",MIN(Dashboard!$B$7,MAX(IF(H58="",Dashboard!$B$4,H58),G59)))</f>
        <v/>
      </c>
      <c r="I59" s="12">
        <f>IF($A59="","",H59-Dashboard!$B$5)</f>
        <v/>
      </c>
      <c r="J59" s="12">
        <f>IF($A59="","",G59-I59)</f>
        <v/>
      </c>
      <c r="K59" s="10">
        <f>IF($A59="","",IF(G59&lt;I59,"BREACH","ok"))</f>
        <v/>
      </c>
    </row>
    <row r="60">
      <c r="A60" s="18" t="n"/>
      <c r="B60" s="10">
        <f>IF($A60="","",COUNTIFS('Trade Log'!$B$3:$B$152,$A60))</f>
        <v/>
      </c>
      <c r="C60" s="10">
        <f>IF($A60="","",COUNTIFS('Trade Log'!$B$3:$B$152,$A60,'Trade Log'!$AC$3:$AC$152,1))</f>
        <v/>
      </c>
      <c r="D60" s="10">
        <f>IF($A60="","",COUNTIFS('Trade Log'!$B$3:$B$152,$A60,'Trade Log'!$AC$3:$AC$152,0))</f>
        <v/>
      </c>
      <c r="E60" s="12">
        <f>IF($A60="","",SUMIFS('Trade Log'!$AA$3:$AA$152,'Trade Log'!$B$3:$B$152,$A60))</f>
        <v/>
      </c>
      <c r="F60" s="11">
        <f>IFERROR(E60/Dashboard!$B$4,"")</f>
        <v/>
      </c>
      <c r="G60" s="12">
        <f>IF($A60="","",Dashboard!$B$4+SUMIFS('Trade Log'!$AA$3:$AA$152,'Trade Log'!$B$3:$B$152,"&lt;="&amp;$A60))</f>
        <v/>
      </c>
      <c r="H60" s="12">
        <f>IF($A60="","",MIN(Dashboard!$B$7,MAX(IF(H59="",Dashboard!$B$4,H59),G60)))</f>
        <v/>
      </c>
      <c r="I60" s="12">
        <f>IF($A60="","",H60-Dashboard!$B$5)</f>
        <v/>
      </c>
      <c r="J60" s="12">
        <f>IF($A60="","",G60-I60)</f>
        <v/>
      </c>
      <c r="K60" s="10">
        <f>IF($A60="","",IF(G60&lt;I60,"BREACH","ok"))</f>
        <v/>
      </c>
    </row>
    <row r="61">
      <c r="A61" s="18" t="n"/>
      <c r="B61" s="10">
        <f>IF($A61="","",COUNTIFS('Trade Log'!$B$3:$B$152,$A61))</f>
        <v/>
      </c>
      <c r="C61" s="10">
        <f>IF($A61="","",COUNTIFS('Trade Log'!$B$3:$B$152,$A61,'Trade Log'!$AC$3:$AC$152,1))</f>
        <v/>
      </c>
      <c r="D61" s="10">
        <f>IF($A61="","",COUNTIFS('Trade Log'!$B$3:$B$152,$A61,'Trade Log'!$AC$3:$AC$152,0))</f>
        <v/>
      </c>
      <c r="E61" s="12">
        <f>IF($A61="","",SUMIFS('Trade Log'!$AA$3:$AA$152,'Trade Log'!$B$3:$B$152,$A61))</f>
        <v/>
      </c>
      <c r="F61" s="11">
        <f>IFERROR(E61/Dashboard!$B$4,"")</f>
        <v/>
      </c>
      <c r="G61" s="12">
        <f>IF($A61="","",Dashboard!$B$4+SUMIFS('Trade Log'!$AA$3:$AA$152,'Trade Log'!$B$3:$B$152,"&lt;="&amp;$A61))</f>
        <v/>
      </c>
      <c r="H61" s="12">
        <f>IF($A61="","",MIN(Dashboard!$B$7,MAX(IF(H60="",Dashboard!$B$4,H60),G61)))</f>
        <v/>
      </c>
      <c r="I61" s="12">
        <f>IF($A61="","",H61-Dashboard!$B$5)</f>
        <v/>
      </c>
      <c r="J61" s="12">
        <f>IF($A61="","",G61-I61)</f>
        <v/>
      </c>
      <c r="K61" s="10">
        <f>IF($A61="","",IF(G61&lt;I61,"BREACH","ok"))</f>
        <v/>
      </c>
    </row>
    <row r="62">
      <c r="A62" s="18" t="n"/>
      <c r="B62" s="10">
        <f>IF($A62="","",COUNTIFS('Trade Log'!$B$3:$B$152,$A62))</f>
        <v/>
      </c>
      <c r="C62" s="10">
        <f>IF($A62="","",COUNTIFS('Trade Log'!$B$3:$B$152,$A62,'Trade Log'!$AC$3:$AC$152,1))</f>
        <v/>
      </c>
      <c r="D62" s="10">
        <f>IF($A62="","",COUNTIFS('Trade Log'!$B$3:$B$152,$A62,'Trade Log'!$AC$3:$AC$152,0))</f>
        <v/>
      </c>
      <c r="E62" s="12">
        <f>IF($A62="","",SUMIFS('Trade Log'!$AA$3:$AA$152,'Trade Log'!$B$3:$B$152,$A62))</f>
        <v/>
      </c>
      <c r="F62" s="11">
        <f>IFERROR(E62/Dashboard!$B$4,"")</f>
        <v/>
      </c>
      <c r="G62" s="12">
        <f>IF($A62="","",Dashboard!$B$4+SUMIFS('Trade Log'!$AA$3:$AA$152,'Trade Log'!$B$3:$B$152,"&lt;="&amp;$A62))</f>
        <v/>
      </c>
      <c r="H62" s="12">
        <f>IF($A62="","",MIN(Dashboard!$B$7,MAX(IF(H61="",Dashboard!$B$4,H61),G62)))</f>
        <v/>
      </c>
      <c r="I62" s="12">
        <f>IF($A62="","",H62-Dashboard!$B$5)</f>
        <v/>
      </c>
      <c r="J62" s="12">
        <f>IF($A62="","",G62-I62)</f>
        <v/>
      </c>
      <c r="K62" s="10">
        <f>IF($A62="","",IF(G62&lt;I62,"BREACH","ok"))</f>
        <v/>
      </c>
    </row>
    <row r="63">
      <c r="A63" s="18" t="n"/>
      <c r="B63" s="10">
        <f>IF($A63="","",COUNTIFS('Trade Log'!$B$3:$B$152,$A63))</f>
        <v/>
      </c>
      <c r="C63" s="10">
        <f>IF($A63="","",COUNTIFS('Trade Log'!$B$3:$B$152,$A63,'Trade Log'!$AC$3:$AC$152,1))</f>
        <v/>
      </c>
      <c r="D63" s="10">
        <f>IF($A63="","",COUNTIFS('Trade Log'!$B$3:$B$152,$A63,'Trade Log'!$AC$3:$AC$152,0))</f>
        <v/>
      </c>
      <c r="E63" s="12">
        <f>IF($A63="","",SUMIFS('Trade Log'!$AA$3:$AA$152,'Trade Log'!$B$3:$B$152,$A63))</f>
        <v/>
      </c>
      <c r="F63" s="11">
        <f>IFERROR(E63/Dashboard!$B$4,"")</f>
        <v/>
      </c>
      <c r="G63" s="12">
        <f>IF($A63="","",Dashboard!$B$4+SUMIFS('Trade Log'!$AA$3:$AA$152,'Trade Log'!$B$3:$B$152,"&lt;="&amp;$A63))</f>
        <v/>
      </c>
      <c r="H63" s="12">
        <f>IF($A63="","",MIN(Dashboard!$B$7,MAX(IF(H62="",Dashboard!$B$4,H62),G63)))</f>
        <v/>
      </c>
      <c r="I63" s="12">
        <f>IF($A63="","",H63-Dashboard!$B$5)</f>
        <v/>
      </c>
      <c r="J63" s="12">
        <f>IF($A63="","",G63-I63)</f>
        <v/>
      </c>
      <c r="K63" s="10">
        <f>IF($A63="","",IF(G63&lt;I63,"BREACH","ok"))</f>
        <v/>
      </c>
    </row>
    <row r="64">
      <c r="A64" s="18" t="n"/>
      <c r="B64" s="10">
        <f>IF($A64="","",COUNTIFS('Trade Log'!$B$3:$B$152,$A64))</f>
        <v/>
      </c>
      <c r="C64" s="10">
        <f>IF($A64="","",COUNTIFS('Trade Log'!$B$3:$B$152,$A64,'Trade Log'!$AC$3:$AC$152,1))</f>
        <v/>
      </c>
      <c r="D64" s="10">
        <f>IF($A64="","",COUNTIFS('Trade Log'!$B$3:$B$152,$A64,'Trade Log'!$AC$3:$AC$152,0))</f>
        <v/>
      </c>
      <c r="E64" s="12">
        <f>IF($A64="","",SUMIFS('Trade Log'!$AA$3:$AA$152,'Trade Log'!$B$3:$B$152,$A64))</f>
        <v/>
      </c>
      <c r="F64" s="11">
        <f>IFERROR(E64/Dashboard!$B$4,"")</f>
        <v/>
      </c>
      <c r="G64" s="12">
        <f>IF($A64="","",Dashboard!$B$4+SUMIFS('Trade Log'!$AA$3:$AA$152,'Trade Log'!$B$3:$B$152,"&lt;="&amp;$A64))</f>
        <v/>
      </c>
      <c r="H64" s="12">
        <f>IF($A64="","",MIN(Dashboard!$B$7,MAX(IF(H63="",Dashboard!$B$4,H63),G64)))</f>
        <v/>
      </c>
      <c r="I64" s="12">
        <f>IF($A64="","",H64-Dashboard!$B$5)</f>
        <v/>
      </c>
      <c r="J64" s="12">
        <f>IF($A64="","",G64-I64)</f>
        <v/>
      </c>
      <c r="K64" s="10">
        <f>IF($A64="","",IF(G64&lt;I64,"BREACH","ok"))</f>
        <v/>
      </c>
    </row>
    <row r="65">
      <c r="A65" s="18" t="n"/>
      <c r="B65" s="10">
        <f>IF($A65="","",COUNTIFS('Trade Log'!$B$3:$B$152,$A65))</f>
        <v/>
      </c>
      <c r="C65" s="10">
        <f>IF($A65="","",COUNTIFS('Trade Log'!$B$3:$B$152,$A65,'Trade Log'!$AC$3:$AC$152,1))</f>
        <v/>
      </c>
      <c r="D65" s="10">
        <f>IF($A65="","",COUNTIFS('Trade Log'!$B$3:$B$152,$A65,'Trade Log'!$AC$3:$AC$152,0))</f>
        <v/>
      </c>
      <c r="E65" s="12">
        <f>IF($A65="","",SUMIFS('Trade Log'!$AA$3:$AA$152,'Trade Log'!$B$3:$B$152,$A65))</f>
        <v/>
      </c>
      <c r="F65" s="11">
        <f>IFERROR(E65/Dashboard!$B$4,"")</f>
        <v/>
      </c>
      <c r="G65" s="12">
        <f>IF($A65="","",Dashboard!$B$4+SUMIFS('Trade Log'!$AA$3:$AA$152,'Trade Log'!$B$3:$B$152,"&lt;="&amp;$A65))</f>
        <v/>
      </c>
      <c r="H65" s="12">
        <f>IF($A65="","",MIN(Dashboard!$B$7,MAX(IF(H64="",Dashboard!$B$4,H64),G65)))</f>
        <v/>
      </c>
      <c r="I65" s="12">
        <f>IF($A65="","",H65-Dashboard!$B$5)</f>
        <v/>
      </c>
      <c r="J65" s="12">
        <f>IF($A65="","",G65-I65)</f>
        <v/>
      </c>
      <c r="K65" s="10">
        <f>IF($A65="","",IF(G65&lt;I65,"BREACH","ok"))</f>
        <v/>
      </c>
    </row>
    <row r="66">
      <c r="A66" s="18" t="n"/>
      <c r="B66" s="10">
        <f>IF($A66="","",COUNTIFS('Trade Log'!$B$3:$B$152,$A66))</f>
        <v/>
      </c>
      <c r="C66" s="10">
        <f>IF($A66="","",COUNTIFS('Trade Log'!$B$3:$B$152,$A66,'Trade Log'!$AC$3:$AC$152,1))</f>
        <v/>
      </c>
      <c r="D66" s="10">
        <f>IF($A66="","",COUNTIFS('Trade Log'!$B$3:$B$152,$A66,'Trade Log'!$AC$3:$AC$152,0))</f>
        <v/>
      </c>
      <c r="E66" s="12">
        <f>IF($A66="","",SUMIFS('Trade Log'!$AA$3:$AA$152,'Trade Log'!$B$3:$B$152,$A66))</f>
        <v/>
      </c>
      <c r="F66" s="11">
        <f>IFERROR(E66/Dashboard!$B$4,"")</f>
        <v/>
      </c>
      <c r="G66" s="12">
        <f>IF($A66="","",Dashboard!$B$4+SUMIFS('Trade Log'!$AA$3:$AA$152,'Trade Log'!$B$3:$B$152,"&lt;="&amp;$A66))</f>
        <v/>
      </c>
      <c r="H66" s="12">
        <f>IF($A66="","",MIN(Dashboard!$B$7,MAX(IF(H65="",Dashboard!$B$4,H65),G66)))</f>
        <v/>
      </c>
      <c r="I66" s="12">
        <f>IF($A66="","",H66-Dashboard!$B$5)</f>
        <v/>
      </c>
      <c r="J66" s="12">
        <f>IF($A66="","",G66-I66)</f>
        <v/>
      </c>
      <c r="K66" s="10">
        <f>IF($A66="","",IF(G66&lt;I66,"BREACH","ok"))</f>
        <v/>
      </c>
    </row>
    <row r="67">
      <c r="A67" s="18" t="n"/>
      <c r="B67" s="10">
        <f>IF($A67="","",COUNTIFS('Trade Log'!$B$3:$B$152,$A67))</f>
        <v/>
      </c>
      <c r="C67" s="10">
        <f>IF($A67="","",COUNTIFS('Trade Log'!$B$3:$B$152,$A67,'Trade Log'!$AC$3:$AC$152,1))</f>
        <v/>
      </c>
      <c r="D67" s="10">
        <f>IF($A67="","",COUNTIFS('Trade Log'!$B$3:$B$152,$A67,'Trade Log'!$AC$3:$AC$152,0))</f>
        <v/>
      </c>
      <c r="E67" s="12">
        <f>IF($A67="","",SUMIFS('Trade Log'!$AA$3:$AA$152,'Trade Log'!$B$3:$B$152,$A67))</f>
        <v/>
      </c>
      <c r="F67" s="11">
        <f>IFERROR(E67/Dashboard!$B$4,"")</f>
        <v/>
      </c>
      <c r="G67" s="12">
        <f>IF($A67="","",Dashboard!$B$4+SUMIFS('Trade Log'!$AA$3:$AA$152,'Trade Log'!$B$3:$B$152,"&lt;="&amp;$A67))</f>
        <v/>
      </c>
      <c r="H67" s="12">
        <f>IF($A67="","",MIN(Dashboard!$B$7,MAX(IF(H66="",Dashboard!$B$4,H66),G67)))</f>
        <v/>
      </c>
      <c r="I67" s="12">
        <f>IF($A67="","",H67-Dashboard!$B$5)</f>
        <v/>
      </c>
      <c r="J67" s="12">
        <f>IF($A67="","",G67-I67)</f>
        <v/>
      </c>
      <c r="K67" s="10">
        <f>IF($A67="","",IF(G67&lt;I67,"BREACH","ok"))</f>
        <v/>
      </c>
    </row>
    <row r="68">
      <c r="A68" s="18" t="n"/>
      <c r="B68" s="10">
        <f>IF($A68="","",COUNTIFS('Trade Log'!$B$3:$B$152,$A68))</f>
        <v/>
      </c>
      <c r="C68" s="10">
        <f>IF($A68="","",COUNTIFS('Trade Log'!$B$3:$B$152,$A68,'Trade Log'!$AC$3:$AC$152,1))</f>
        <v/>
      </c>
      <c r="D68" s="10">
        <f>IF($A68="","",COUNTIFS('Trade Log'!$B$3:$B$152,$A68,'Trade Log'!$AC$3:$AC$152,0))</f>
        <v/>
      </c>
      <c r="E68" s="12">
        <f>IF($A68="","",SUMIFS('Trade Log'!$AA$3:$AA$152,'Trade Log'!$B$3:$B$152,$A68))</f>
        <v/>
      </c>
      <c r="F68" s="11">
        <f>IFERROR(E68/Dashboard!$B$4,"")</f>
        <v/>
      </c>
      <c r="G68" s="12">
        <f>IF($A68="","",Dashboard!$B$4+SUMIFS('Trade Log'!$AA$3:$AA$152,'Trade Log'!$B$3:$B$152,"&lt;="&amp;$A68))</f>
        <v/>
      </c>
      <c r="H68" s="12">
        <f>IF($A68="","",MIN(Dashboard!$B$7,MAX(IF(H67="",Dashboard!$B$4,H67),G68)))</f>
        <v/>
      </c>
      <c r="I68" s="12">
        <f>IF($A68="","",H68-Dashboard!$B$5)</f>
        <v/>
      </c>
      <c r="J68" s="12">
        <f>IF($A68="","",G68-I68)</f>
        <v/>
      </c>
      <c r="K68" s="10">
        <f>IF($A68="","",IF(G68&lt;I68,"BREACH","ok"))</f>
        <v/>
      </c>
    </row>
    <row r="69">
      <c r="A69" s="18" t="n"/>
      <c r="B69" s="10">
        <f>IF($A69="","",COUNTIFS('Trade Log'!$B$3:$B$152,$A69))</f>
        <v/>
      </c>
      <c r="C69" s="10">
        <f>IF($A69="","",COUNTIFS('Trade Log'!$B$3:$B$152,$A69,'Trade Log'!$AC$3:$AC$152,1))</f>
        <v/>
      </c>
      <c r="D69" s="10">
        <f>IF($A69="","",COUNTIFS('Trade Log'!$B$3:$B$152,$A69,'Trade Log'!$AC$3:$AC$152,0))</f>
        <v/>
      </c>
      <c r="E69" s="12">
        <f>IF($A69="","",SUMIFS('Trade Log'!$AA$3:$AA$152,'Trade Log'!$B$3:$B$152,$A69))</f>
        <v/>
      </c>
      <c r="F69" s="11">
        <f>IFERROR(E69/Dashboard!$B$4,"")</f>
        <v/>
      </c>
      <c r="G69" s="12">
        <f>IF($A69="","",Dashboard!$B$4+SUMIFS('Trade Log'!$AA$3:$AA$152,'Trade Log'!$B$3:$B$152,"&lt;="&amp;$A69))</f>
        <v/>
      </c>
      <c r="H69" s="12">
        <f>IF($A69="","",MIN(Dashboard!$B$7,MAX(IF(H68="",Dashboard!$B$4,H68),G69)))</f>
        <v/>
      </c>
      <c r="I69" s="12">
        <f>IF($A69="","",H69-Dashboard!$B$5)</f>
        <v/>
      </c>
      <c r="J69" s="12">
        <f>IF($A69="","",G69-I69)</f>
        <v/>
      </c>
      <c r="K69" s="10">
        <f>IF($A69="","",IF(G69&lt;I69,"BREACH","ok"))</f>
        <v/>
      </c>
    </row>
    <row r="70">
      <c r="A70" s="18" t="n"/>
      <c r="B70" s="10">
        <f>IF($A70="","",COUNTIFS('Trade Log'!$B$3:$B$152,$A70))</f>
        <v/>
      </c>
      <c r="C70" s="10">
        <f>IF($A70="","",COUNTIFS('Trade Log'!$B$3:$B$152,$A70,'Trade Log'!$AC$3:$AC$152,1))</f>
        <v/>
      </c>
      <c r="D70" s="10">
        <f>IF($A70="","",COUNTIFS('Trade Log'!$B$3:$B$152,$A70,'Trade Log'!$AC$3:$AC$152,0))</f>
        <v/>
      </c>
      <c r="E70" s="12">
        <f>IF($A70="","",SUMIFS('Trade Log'!$AA$3:$AA$152,'Trade Log'!$B$3:$B$152,$A70))</f>
        <v/>
      </c>
      <c r="F70" s="11">
        <f>IFERROR(E70/Dashboard!$B$4,"")</f>
        <v/>
      </c>
      <c r="G70" s="12">
        <f>IF($A70="","",Dashboard!$B$4+SUMIFS('Trade Log'!$AA$3:$AA$152,'Trade Log'!$B$3:$B$152,"&lt;="&amp;$A70))</f>
        <v/>
      </c>
      <c r="H70" s="12">
        <f>IF($A70="","",MIN(Dashboard!$B$7,MAX(IF(H69="",Dashboard!$B$4,H69),G70)))</f>
        <v/>
      </c>
      <c r="I70" s="12">
        <f>IF($A70="","",H70-Dashboard!$B$5)</f>
        <v/>
      </c>
      <c r="J70" s="12">
        <f>IF($A70="","",G70-I70)</f>
        <v/>
      </c>
      <c r="K70" s="10">
        <f>IF($A70="","",IF(G70&lt;I70,"BREACH","ok"))</f>
        <v/>
      </c>
    </row>
    <row r="71">
      <c r="A71" s="18" t="n"/>
      <c r="B71" s="10">
        <f>IF($A71="","",COUNTIFS('Trade Log'!$B$3:$B$152,$A71))</f>
        <v/>
      </c>
      <c r="C71" s="10">
        <f>IF($A71="","",COUNTIFS('Trade Log'!$B$3:$B$152,$A71,'Trade Log'!$AC$3:$AC$152,1))</f>
        <v/>
      </c>
      <c r="D71" s="10">
        <f>IF($A71="","",COUNTIFS('Trade Log'!$B$3:$B$152,$A71,'Trade Log'!$AC$3:$AC$152,0))</f>
        <v/>
      </c>
      <c r="E71" s="12">
        <f>IF($A71="","",SUMIFS('Trade Log'!$AA$3:$AA$152,'Trade Log'!$B$3:$B$152,$A71))</f>
        <v/>
      </c>
      <c r="F71" s="11">
        <f>IFERROR(E71/Dashboard!$B$4,"")</f>
        <v/>
      </c>
      <c r="G71" s="12">
        <f>IF($A71="","",Dashboard!$B$4+SUMIFS('Trade Log'!$AA$3:$AA$152,'Trade Log'!$B$3:$B$152,"&lt;="&amp;$A71))</f>
        <v/>
      </c>
      <c r="H71" s="12">
        <f>IF($A71="","",MIN(Dashboard!$B$7,MAX(IF(H70="",Dashboard!$B$4,H70),G71)))</f>
        <v/>
      </c>
      <c r="I71" s="12">
        <f>IF($A71="","",H71-Dashboard!$B$5)</f>
        <v/>
      </c>
      <c r="J71" s="12">
        <f>IF($A71="","",G71-I71)</f>
        <v/>
      </c>
      <c r="K71" s="10">
        <f>IF($A71="","",IF(G71&lt;I71,"BREACH","ok"))</f>
        <v/>
      </c>
    </row>
    <row r="72">
      <c r="A72" s="18" t="n"/>
      <c r="B72" s="10">
        <f>IF($A72="","",COUNTIFS('Trade Log'!$B$3:$B$152,$A72))</f>
        <v/>
      </c>
      <c r="C72" s="10">
        <f>IF($A72="","",COUNTIFS('Trade Log'!$B$3:$B$152,$A72,'Trade Log'!$AC$3:$AC$152,1))</f>
        <v/>
      </c>
      <c r="D72" s="10">
        <f>IF($A72="","",COUNTIFS('Trade Log'!$B$3:$B$152,$A72,'Trade Log'!$AC$3:$AC$152,0))</f>
        <v/>
      </c>
      <c r="E72" s="12">
        <f>IF($A72="","",SUMIFS('Trade Log'!$AA$3:$AA$152,'Trade Log'!$B$3:$B$152,$A72))</f>
        <v/>
      </c>
      <c r="F72" s="11">
        <f>IFERROR(E72/Dashboard!$B$4,"")</f>
        <v/>
      </c>
      <c r="G72" s="12">
        <f>IF($A72="","",Dashboard!$B$4+SUMIFS('Trade Log'!$AA$3:$AA$152,'Trade Log'!$B$3:$B$152,"&lt;="&amp;$A72))</f>
        <v/>
      </c>
      <c r="H72" s="12">
        <f>IF($A72="","",MIN(Dashboard!$B$7,MAX(IF(H71="",Dashboard!$B$4,H71),G72)))</f>
        <v/>
      </c>
      <c r="I72" s="12">
        <f>IF($A72="","",H72-Dashboard!$B$5)</f>
        <v/>
      </c>
      <c r="J72" s="12">
        <f>IF($A72="","",G72-I72)</f>
        <v/>
      </c>
      <c r="K72" s="10">
        <f>IF($A72="","",IF(G72&lt;I72,"BREACH","ok"))</f>
        <v/>
      </c>
    </row>
    <row r="73">
      <c r="A73" s="18" t="n"/>
      <c r="B73" s="10">
        <f>IF($A73="","",COUNTIFS('Trade Log'!$B$3:$B$152,$A73))</f>
        <v/>
      </c>
      <c r="C73" s="10">
        <f>IF($A73="","",COUNTIFS('Trade Log'!$B$3:$B$152,$A73,'Trade Log'!$AC$3:$AC$152,1))</f>
        <v/>
      </c>
      <c r="D73" s="10">
        <f>IF($A73="","",COUNTIFS('Trade Log'!$B$3:$B$152,$A73,'Trade Log'!$AC$3:$AC$152,0))</f>
        <v/>
      </c>
      <c r="E73" s="12">
        <f>IF($A73="","",SUMIFS('Trade Log'!$AA$3:$AA$152,'Trade Log'!$B$3:$B$152,$A73))</f>
        <v/>
      </c>
      <c r="F73" s="11">
        <f>IFERROR(E73/Dashboard!$B$4,"")</f>
        <v/>
      </c>
      <c r="G73" s="12">
        <f>IF($A73="","",Dashboard!$B$4+SUMIFS('Trade Log'!$AA$3:$AA$152,'Trade Log'!$B$3:$B$152,"&lt;="&amp;$A73))</f>
        <v/>
      </c>
      <c r="H73" s="12">
        <f>IF($A73="","",MIN(Dashboard!$B$7,MAX(IF(H72="",Dashboard!$B$4,H72),G73)))</f>
        <v/>
      </c>
      <c r="I73" s="12">
        <f>IF($A73="","",H73-Dashboard!$B$5)</f>
        <v/>
      </c>
      <c r="J73" s="12">
        <f>IF($A73="","",G73-I73)</f>
        <v/>
      </c>
      <c r="K73" s="10">
        <f>IF($A73="","",IF(G73&lt;I73,"BREACH","ok"))</f>
        <v/>
      </c>
    </row>
    <row r="74">
      <c r="A74" s="18" t="n"/>
      <c r="B74" s="10">
        <f>IF($A74="","",COUNTIFS('Trade Log'!$B$3:$B$152,$A74))</f>
        <v/>
      </c>
      <c r="C74" s="10">
        <f>IF($A74="","",COUNTIFS('Trade Log'!$B$3:$B$152,$A74,'Trade Log'!$AC$3:$AC$152,1))</f>
        <v/>
      </c>
      <c r="D74" s="10">
        <f>IF($A74="","",COUNTIFS('Trade Log'!$B$3:$B$152,$A74,'Trade Log'!$AC$3:$AC$152,0))</f>
        <v/>
      </c>
      <c r="E74" s="12">
        <f>IF($A74="","",SUMIFS('Trade Log'!$AA$3:$AA$152,'Trade Log'!$B$3:$B$152,$A74))</f>
        <v/>
      </c>
      <c r="F74" s="11">
        <f>IFERROR(E74/Dashboard!$B$4,"")</f>
        <v/>
      </c>
      <c r="G74" s="12">
        <f>IF($A74="","",Dashboard!$B$4+SUMIFS('Trade Log'!$AA$3:$AA$152,'Trade Log'!$B$3:$B$152,"&lt;="&amp;$A74))</f>
        <v/>
      </c>
      <c r="H74" s="12">
        <f>IF($A74="","",MIN(Dashboard!$B$7,MAX(IF(H73="",Dashboard!$B$4,H73),G74)))</f>
        <v/>
      </c>
      <c r="I74" s="12">
        <f>IF($A74="","",H74-Dashboard!$B$5)</f>
        <v/>
      </c>
      <c r="J74" s="12">
        <f>IF($A74="","",G74-I74)</f>
        <v/>
      </c>
      <c r="K74" s="10">
        <f>IF($A74="","",IF(G74&lt;I74,"BREACH","ok"))</f>
        <v/>
      </c>
    </row>
    <row r="75">
      <c r="A75" s="18" t="n"/>
      <c r="B75" s="10">
        <f>IF($A75="","",COUNTIFS('Trade Log'!$B$3:$B$152,$A75))</f>
        <v/>
      </c>
      <c r="C75" s="10">
        <f>IF($A75="","",COUNTIFS('Trade Log'!$B$3:$B$152,$A75,'Trade Log'!$AC$3:$AC$152,1))</f>
        <v/>
      </c>
      <c r="D75" s="10">
        <f>IF($A75="","",COUNTIFS('Trade Log'!$B$3:$B$152,$A75,'Trade Log'!$AC$3:$AC$152,0))</f>
        <v/>
      </c>
      <c r="E75" s="12">
        <f>IF($A75="","",SUMIFS('Trade Log'!$AA$3:$AA$152,'Trade Log'!$B$3:$B$152,$A75))</f>
        <v/>
      </c>
      <c r="F75" s="11">
        <f>IFERROR(E75/Dashboard!$B$4,"")</f>
        <v/>
      </c>
      <c r="G75" s="12">
        <f>IF($A75="","",Dashboard!$B$4+SUMIFS('Trade Log'!$AA$3:$AA$152,'Trade Log'!$B$3:$B$152,"&lt;="&amp;$A75))</f>
        <v/>
      </c>
      <c r="H75" s="12">
        <f>IF($A75="","",MIN(Dashboard!$B$7,MAX(IF(H74="",Dashboard!$B$4,H74),G75)))</f>
        <v/>
      </c>
      <c r="I75" s="12">
        <f>IF($A75="","",H75-Dashboard!$B$5)</f>
        <v/>
      </c>
      <c r="J75" s="12">
        <f>IF($A75="","",G75-I75)</f>
        <v/>
      </c>
      <c r="K75" s="10">
        <f>IF($A75="","",IF(G75&lt;I75,"BREACH","ok"))</f>
        <v/>
      </c>
    </row>
    <row r="76">
      <c r="A76" s="18" t="n"/>
      <c r="B76" s="10">
        <f>IF($A76="","",COUNTIFS('Trade Log'!$B$3:$B$152,$A76))</f>
        <v/>
      </c>
      <c r="C76" s="10">
        <f>IF($A76="","",COUNTIFS('Trade Log'!$B$3:$B$152,$A76,'Trade Log'!$AC$3:$AC$152,1))</f>
        <v/>
      </c>
      <c r="D76" s="10">
        <f>IF($A76="","",COUNTIFS('Trade Log'!$B$3:$B$152,$A76,'Trade Log'!$AC$3:$AC$152,0))</f>
        <v/>
      </c>
      <c r="E76" s="12">
        <f>IF($A76="","",SUMIFS('Trade Log'!$AA$3:$AA$152,'Trade Log'!$B$3:$B$152,$A76))</f>
        <v/>
      </c>
      <c r="F76" s="11">
        <f>IFERROR(E76/Dashboard!$B$4,"")</f>
        <v/>
      </c>
      <c r="G76" s="12">
        <f>IF($A76="","",Dashboard!$B$4+SUMIFS('Trade Log'!$AA$3:$AA$152,'Trade Log'!$B$3:$B$152,"&lt;="&amp;$A76))</f>
        <v/>
      </c>
      <c r="H76" s="12">
        <f>IF($A76="","",MIN(Dashboard!$B$7,MAX(IF(H75="",Dashboard!$B$4,H75),G76)))</f>
        <v/>
      </c>
      <c r="I76" s="12">
        <f>IF($A76="","",H76-Dashboard!$B$5)</f>
        <v/>
      </c>
      <c r="J76" s="12">
        <f>IF($A76="","",G76-I76)</f>
        <v/>
      </c>
      <c r="K76" s="10">
        <f>IF($A76="","",IF(G76&lt;I76,"BREACH","ok"))</f>
        <v/>
      </c>
    </row>
    <row r="77">
      <c r="A77" s="18" t="n"/>
      <c r="B77" s="10">
        <f>IF($A77="","",COUNTIFS('Trade Log'!$B$3:$B$152,$A77))</f>
        <v/>
      </c>
      <c r="C77" s="10">
        <f>IF($A77="","",COUNTIFS('Trade Log'!$B$3:$B$152,$A77,'Trade Log'!$AC$3:$AC$152,1))</f>
        <v/>
      </c>
      <c r="D77" s="10">
        <f>IF($A77="","",COUNTIFS('Trade Log'!$B$3:$B$152,$A77,'Trade Log'!$AC$3:$AC$152,0))</f>
        <v/>
      </c>
      <c r="E77" s="12">
        <f>IF($A77="","",SUMIFS('Trade Log'!$AA$3:$AA$152,'Trade Log'!$B$3:$B$152,$A77))</f>
        <v/>
      </c>
      <c r="F77" s="11">
        <f>IFERROR(E77/Dashboard!$B$4,"")</f>
        <v/>
      </c>
      <c r="G77" s="12">
        <f>IF($A77="","",Dashboard!$B$4+SUMIFS('Trade Log'!$AA$3:$AA$152,'Trade Log'!$B$3:$B$152,"&lt;="&amp;$A77))</f>
        <v/>
      </c>
      <c r="H77" s="12">
        <f>IF($A77="","",MIN(Dashboard!$B$7,MAX(IF(H76="",Dashboard!$B$4,H76),G77)))</f>
        <v/>
      </c>
      <c r="I77" s="12">
        <f>IF($A77="","",H77-Dashboard!$B$5)</f>
        <v/>
      </c>
      <c r="J77" s="12">
        <f>IF($A77="","",G77-I77)</f>
        <v/>
      </c>
      <c r="K77" s="10">
        <f>IF($A77="","",IF(G77&lt;I77,"BREACH","ok"))</f>
        <v/>
      </c>
    </row>
    <row r="78">
      <c r="A78" s="18" t="n"/>
      <c r="B78" s="10">
        <f>IF($A78="","",COUNTIFS('Trade Log'!$B$3:$B$152,$A78))</f>
        <v/>
      </c>
      <c r="C78" s="10">
        <f>IF($A78="","",COUNTIFS('Trade Log'!$B$3:$B$152,$A78,'Trade Log'!$AC$3:$AC$152,1))</f>
        <v/>
      </c>
      <c r="D78" s="10">
        <f>IF($A78="","",COUNTIFS('Trade Log'!$B$3:$B$152,$A78,'Trade Log'!$AC$3:$AC$152,0))</f>
        <v/>
      </c>
      <c r="E78" s="12">
        <f>IF($A78="","",SUMIFS('Trade Log'!$AA$3:$AA$152,'Trade Log'!$B$3:$B$152,$A78))</f>
        <v/>
      </c>
      <c r="F78" s="11">
        <f>IFERROR(E78/Dashboard!$B$4,"")</f>
        <v/>
      </c>
      <c r="G78" s="12">
        <f>IF($A78="","",Dashboard!$B$4+SUMIFS('Trade Log'!$AA$3:$AA$152,'Trade Log'!$B$3:$B$152,"&lt;="&amp;$A78))</f>
        <v/>
      </c>
      <c r="H78" s="12">
        <f>IF($A78="","",MIN(Dashboard!$B$7,MAX(IF(H77="",Dashboard!$B$4,H77),G78)))</f>
        <v/>
      </c>
      <c r="I78" s="12">
        <f>IF($A78="","",H78-Dashboard!$B$5)</f>
        <v/>
      </c>
      <c r="J78" s="12">
        <f>IF($A78="","",G78-I78)</f>
        <v/>
      </c>
      <c r="K78" s="10">
        <f>IF($A78="","",IF(G78&lt;I78,"BREACH","ok"))</f>
        <v/>
      </c>
    </row>
    <row r="79">
      <c r="A79" s="18" t="n"/>
      <c r="B79" s="10">
        <f>IF($A79="","",COUNTIFS('Trade Log'!$B$3:$B$152,$A79))</f>
        <v/>
      </c>
      <c r="C79" s="10">
        <f>IF($A79="","",COUNTIFS('Trade Log'!$B$3:$B$152,$A79,'Trade Log'!$AC$3:$AC$152,1))</f>
        <v/>
      </c>
      <c r="D79" s="10">
        <f>IF($A79="","",COUNTIFS('Trade Log'!$B$3:$B$152,$A79,'Trade Log'!$AC$3:$AC$152,0))</f>
        <v/>
      </c>
      <c r="E79" s="12">
        <f>IF($A79="","",SUMIFS('Trade Log'!$AA$3:$AA$152,'Trade Log'!$B$3:$B$152,$A79))</f>
        <v/>
      </c>
      <c r="F79" s="11">
        <f>IFERROR(E79/Dashboard!$B$4,"")</f>
        <v/>
      </c>
      <c r="G79" s="12">
        <f>IF($A79="","",Dashboard!$B$4+SUMIFS('Trade Log'!$AA$3:$AA$152,'Trade Log'!$B$3:$B$152,"&lt;="&amp;$A79))</f>
        <v/>
      </c>
      <c r="H79" s="12">
        <f>IF($A79="","",MIN(Dashboard!$B$7,MAX(IF(H78="",Dashboard!$B$4,H78),G79)))</f>
        <v/>
      </c>
      <c r="I79" s="12">
        <f>IF($A79="","",H79-Dashboard!$B$5)</f>
        <v/>
      </c>
      <c r="J79" s="12">
        <f>IF($A79="","",G79-I79)</f>
        <v/>
      </c>
      <c r="K79" s="10">
        <f>IF($A79="","",IF(G79&lt;I79,"BREACH","ok"))</f>
        <v/>
      </c>
    </row>
    <row r="80">
      <c r="A80" s="18" t="n"/>
      <c r="B80" s="10">
        <f>IF($A80="","",COUNTIFS('Trade Log'!$B$3:$B$152,$A80))</f>
        <v/>
      </c>
      <c r="C80" s="10">
        <f>IF($A80="","",COUNTIFS('Trade Log'!$B$3:$B$152,$A80,'Trade Log'!$AC$3:$AC$152,1))</f>
        <v/>
      </c>
      <c r="D80" s="10">
        <f>IF($A80="","",COUNTIFS('Trade Log'!$B$3:$B$152,$A80,'Trade Log'!$AC$3:$AC$152,0))</f>
        <v/>
      </c>
      <c r="E80" s="12">
        <f>IF($A80="","",SUMIFS('Trade Log'!$AA$3:$AA$152,'Trade Log'!$B$3:$B$152,$A80))</f>
        <v/>
      </c>
      <c r="F80" s="11">
        <f>IFERROR(E80/Dashboard!$B$4,"")</f>
        <v/>
      </c>
      <c r="G80" s="12">
        <f>IF($A80="","",Dashboard!$B$4+SUMIFS('Trade Log'!$AA$3:$AA$152,'Trade Log'!$B$3:$B$152,"&lt;="&amp;$A80))</f>
        <v/>
      </c>
      <c r="H80" s="12">
        <f>IF($A80="","",MIN(Dashboard!$B$7,MAX(IF(H79="",Dashboard!$B$4,H79),G80)))</f>
        <v/>
      </c>
      <c r="I80" s="12">
        <f>IF($A80="","",H80-Dashboard!$B$5)</f>
        <v/>
      </c>
      <c r="J80" s="12">
        <f>IF($A80="","",G80-I80)</f>
        <v/>
      </c>
      <c r="K80" s="10">
        <f>IF($A80="","",IF(G80&lt;I80,"BREACH","ok"))</f>
        <v/>
      </c>
    </row>
    <row r="81">
      <c r="A81" s="18" t="n"/>
      <c r="B81" s="10">
        <f>IF($A81="","",COUNTIFS('Trade Log'!$B$3:$B$152,$A81))</f>
        <v/>
      </c>
      <c r="C81" s="10">
        <f>IF($A81="","",COUNTIFS('Trade Log'!$B$3:$B$152,$A81,'Trade Log'!$AC$3:$AC$152,1))</f>
        <v/>
      </c>
      <c r="D81" s="10">
        <f>IF($A81="","",COUNTIFS('Trade Log'!$B$3:$B$152,$A81,'Trade Log'!$AC$3:$AC$152,0))</f>
        <v/>
      </c>
      <c r="E81" s="12">
        <f>IF($A81="","",SUMIFS('Trade Log'!$AA$3:$AA$152,'Trade Log'!$B$3:$B$152,$A81))</f>
        <v/>
      </c>
      <c r="F81" s="11">
        <f>IFERROR(E81/Dashboard!$B$4,"")</f>
        <v/>
      </c>
      <c r="G81" s="12">
        <f>IF($A81="","",Dashboard!$B$4+SUMIFS('Trade Log'!$AA$3:$AA$152,'Trade Log'!$B$3:$B$152,"&lt;="&amp;$A81))</f>
        <v/>
      </c>
      <c r="H81" s="12">
        <f>IF($A81="","",MIN(Dashboard!$B$7,MAX(IF(H80="",Dashboard!$B$4,H80),G81)))</f>
        <v/>
      </c>
      <c r="I81" s="12">
        <f>IF($A81="","",H81-Dashboard!$B$5)</f>
        <v/>
      </c>
      <c r="J81" s="12">
        <f>IF($A81="","",G81-I81)</f>
        <v/>
      </c>
      <c r="K81" s="10">
        <f>IF($A81="","",IF(G81&lt;I81,"BREACH","ok"))</f>
        <v/>
      </c>
    </row>
    <row r="82">
      <c r="A82" s="18" t="n"/>
      <c r="B82" s="10">
        <f>IF($A82="","",COUNTIFS('Trade Log'!$B$3:$B$152,$A82))</f>
        <v/>
      </c>
      <c r="C82" s="10">
        <f>IF($A82="","",COUNTIFS('Trade Log'!$B$3:$B$152,$A82,'Trade Log'!$AC$3:$AC$152,1))</f>
        <v/>
      </c>
      <c r="D82" s="10">
        <f>IF($A82="","",COUNTIFS('Trade Log'!$B$3:$B$152,$A82,'Trade Log'!$AC$3:$AC$152,0))</f>
        <v/>
      </c>
      <c r="E82" s="12">
        <f>IF($A82="","",SUMIFS('Trade Log'!$AA$3:$AA$152,'Trade Log'!$B$3:$B$152,$A82))</f>
        <v/>
      </c>
      <c r="F82" s="11">
        <f>IFERROR(E82/Dashboard!$B$4,"")</f>
        <v/>
      </c>
      <c r="G82" s="12">
        <f>IF($A82="","",Dashboard!$B$4+SUMIFS('Trade Log'!$AA$3:$AA$152,'Trade Log'!$B$3:$B$152,"&lt;="&amp;$A82))</f>
        <v/>
      </c>
      <c r="H82" s="12">
        <f>IF($A82="","",MIN(Dashboard!$B$7,MAX(IF(H81="",Dashboard!$B$4,H81),G82)))</f>
        <v/>
      </c>
      <c r="I82" s="12">
        <f>IF($A82="","",H82-Dashboard!$B$5)</f>
        <v/>
      </c>
      <c r="J82" s="12">
        <f>IF($A82="","",G82-I82)</f>
        <v/>
      </c>
      <c r="K82" s="10">
        <f>IF($A82="","",IF(G82&lt;I82,"BREACH","ok"))</f>
        <v/>
      </c>
    </row>
    <row r="83">
      <c r="A83" s="18" t="n"/>
      <c r="B83" s="10">
        <f>IF($A83="","",COUNTIFS('Trade Log'!$B$3:$B$152,$A83))</f>
        <v/>
      </c>
      <c r="C83" s="10">
        <f>IF($A83="","",COUNTIFS('Trade Log'!$B$3:$B$152,$A83,'Trade Log'!$AC$3:$AC$152,1))</f>
        <v/>
      </c>
      <c r="D83" s="10">
        <f>IF($A83="","",COUNTIFS('Trade Log'!$B$3:$B$152,$A83,'Trade Log'!$AC$3:$AC$152,0))</f>
        <v/>
      </c>
      <c r="E83" s="12">
        <f>IF($A83="","",SUMIFS('Trade Log'!$AA$3:$AA$152,'Trade Log'!$B$3:$B$152,$A83))</f>
        <v/>
      </c>
      <c r="F83" s="11">
        <f>IFERROR(E83/Dashboard!$B$4,"")</f>
        <v/>
      </c>
      <c r="G83" s="12">
        <f>IF($A83="","",Dashboard!$B$4+SUMIFS('Trade Log'!$AA$3:$AA$152,'Trade Log'!$B$3:$B$152,"&lt;="&amp;$A83))</f>
        <v/>
      </c>
      <c r="H83" s="12">
        <f>IF($A83="","",MIN(Dashboard!$B$7,MAX(IF(H82="",Dashboard!$B$4,H82),G83)))</f>
        <v/>
      </c>
      <c r="I83" s="12">
        <f>IF($A83="","",H83-Dashboard!$B$5)</f>
        <v/>
      </c>
      <c r="J83" s="12">
        <f>IF($A83="","",G83-I83)</f>
        <v/>
      </c>
      <c r="K83" s="10">
        <f>IF($A83="","",IF(G83&lt;I83,"BREACH","ok"))</f>
        <v/>
      </c>
    </row>
    <row r="84">
      <c r="A84" s="18" t="n"/>
      <c r="B84" s="10">
        <f>IF($A84="","",COUNTIFS('Trade Log'!$B$3:$B$152,$A84))</f>
        <v/>
      </c>
      <c r="C84" s="10">
        <f>IF($A84="","",COUNTIFS('Trade Log'!$B$3:$B$152,$A84,'Trade Log'!$AC$3:$AC$152,1))</f>
        <v/>
      </c>
      <c r="D84" s="10">
        <f>IF($A84="","",COUNTIFS('Trade Log'!$B$3:$B$152,$A84,'Trade Log'!$AC$3:$AC$152,0))</f>
        <v/>
      </c>
      <c r="E84" s="12">
        <f>IF($A84="","",SUMIFS('Trade Log'!$AA$3:$AA$152,'Trade Log'!$B$3:$B$152,$A84))</f>
        <v/>
      </c>
      <c r="F84" s="11">
        <f>IFERROR(E84/Dashboard!$B$4,"")</f>
        <v/>
      </c>
      <c r="G84" s="12">
        <f>IF($A84="","",Dashboard!$B$4+SUMIFS('Trade Log'!$AA$3:$AA$152,'Trade Log'!$B$3:$B$152,"&lt;="&amp;$A84))</f>
        <v/>
      </c>
      <c r="H84" s="12">
        <f>IF($A84="","",MIN(Dashboard!$B$7,MAX(IF(H83="",Dashboard!$B$4,H83),G84)))</f>
        <v/>
      </c>
      <c r="I84" s="12">
        <f>IF($A84="","",H84-Dashboard!$B$5)</f>
        <v/>
      </c>
      <c r="J84" s="12">
        <f>IF($A84="","",G84-I84)</f>
        <v/>
      </c>
      <c r="K84" s="10">
        <f>IF($A84="","",IF(G84&lt;I84,"BREACH","ok"))</f>
        <v/>
      </c>
    </row>
    <row r="85">
      <c r="A85" s="18" t="n"/>
      <c r="B85" s="10">
        <f>IF($A85="","",COUNTIFS('Trade Log'!$B$3:$B$152,$A85))</f>
        <v/>
      </c>
      <c r="C85" s="10">
        <f>IF($A85="","",COUNTIFS('Trade Log'!$B$3:$B$152,$A85,'Trade Log'!$AC$3:$AC$152,1))</f>
        <v/>
      </c>
      <c r="D85" s="10">
        <f>IF($A85="","",COUNTIFS('Trade Log'!$B$3:$B$152,$A85,'Trade Log'!$AC$3:$AC$152,0))</f>
        <v/>
      </c>
      <c r="E85" s="12">
        <f>IF($A85="","",SUMIFS('Trade Log'!$AA$3:$AA$152,'Trade Log'!$B$3:$B$152,$A85))</f>
        <v/>
      </c>
      <c r="F85" s="11">
        <f>IFERROR(E85/Dashboard!$B$4,"")</f>
        <v/>
      </c>
      <c r="G85" s="12">
        <f>IF($A85="","",Dashboard!$B$4+SUMIFS('Trade Log'!$AA$3:$AA$152,'Trade Log'!$B$3:$B$152,"&lt;="&amp;$A85))</f>
        <v/>
      </c>
      <c r="H85" s="12">
        <f>IF($A85="","",MIN(Dashboard!$B$7,MAX(IF(H84="",Dashboard!$B$4,H84),G85)))</f>
        <v/>
      </c>
      <c r="I85" s="12">
        <f>IF($A85="","",H85-Dashboard!$B$5)</f>
        <v/>
      </c>
      <c r="J85" s="12">
        <f>IF($A85="","",G85-I85)</f>
        <v/>
      </c>
      <c r="K85" s="10">
        <f>IF($A85="","",IF(G85&lt;I85,"BREACH","ok"))</f>
        <v/>
      </c>
    </row>
    <row r="86">
      <c r="A86" s="18" t="n"/>
      <c r="B86" s="10">
        <f>IF($A86="","",COUNTIFS('Trade Log'!$B$3:$B$152,$A86))</f>
        <v/>
      </c>
      <c r="C86" s="10">
        <f>IF($A86="","",COUNTIFS('Trade Log'!$B$3:$B$152,$A86,'Trade Log'!$AC$3:$AC$152,1))</f>
        <v/>
      </c>
      <c r="D86" s="10">
        <f>IF($A86="","",COUNTIFS('Trade Log'!$B$3:$B$152,$A86,'Trade Log'!$AC$3:$AC$152,0))</f>
        <v/>
      </c>
      <c r="E86" s="12">
        <f>IF($A86="","",SUMIFS('Trade Log'!$AA$3:$AA$152,'Trade Log'!$B$3:$B$152,$A86))</f>
        <v/>
      </c>
      <c r="F86" s="11">
        <f>IFERROR(E86/Dashboard!$B$4,"")</f>
        <v/>
      </c>
      <c r="G86" s="12">
        <f>IF($A86="","",Dashboard!$B$4+SUMIFS('Trade Log'!$AA$3:$AA$152,'Trade Log'!$B$3:$B$152,"&lt;="&amp;$A86))</f>
        <v/>
      </c>
      <c r="H86" s="12">
        <f>IF($A86="","",MIN(Dashboard!$B$7,MAX(IF(H85="",Dashboard!$B$4,H85),G86)))</f>
        <v/>
      </c>
      <c r="I86" s="12">
        <f>IF($A86="","",H86-Dashboard!$B$5)</f>
        <v/>
      </c>
      <c r="J86" s="12">
        <f>IF($A86="","",G86-I86)</f>
        <v/>
      </c>
      <c r="K86" s="10">
        <f>IF($A86="","",IF(G86&lt;I86,"BREACH","ok"))</f>
        <v/>
      </c>
    </row>
    <row r="87">
      <c r="A87" s="18" t="n"/>
      <c r="B87" s="10">
        <f>IF($A87="","",COUNTIFS('Trade Log'!$B$3:$B$152,$A87))</f>
        <v/>
      </c>
      <c r="C87" s="10">
        <f>IF($A87="","",COUNTIFS('Trade Log'!$B$3:$B$152,$A87,'Trade Log'!$AC$3:$AC$152,1))</f>
        <v/>
      </c>
      <c r="D87" s="10">
        <f>IF($A87="","",COUNTIFS('Trade Log'!$B$3:$B$152,$A87,'Trade Log'!$AC$3:$AC$152,0))</f>
        <v/>
      </c>
      <c r="E87" s="12">
        <f>IF($A87="","",SUMIFS('Trade Log'!$AA$3:$AA$152,'Trade Log'!$B$3:$B$152,$A87))</f>
        <v/>
      </c>
      <c r="F87" s="11">
        <f>IFERROR(E87/Dashboard!$B$4,"")</f>
        <v/>
      </c>
      <c r="G87" s="12">
        <f>IF($A87="","",Dashboard!$B$4+SUMIFS('Trade Log'!$AA$3:$AA$152,'Trade Log'!$B$3:$B$152,"&lt;="&amp;$A87))</f>
        <v/>
      </c>
      <c r="H87" s="12">
        <f>IF($A87="","",MIN(Dashboard!$B$7,MAX(IF(H86="",Dashboard!$B$4,H86),G87)))</f>
        <v/>
      </c>
      <c r="I87" s="12">
        <f>IF($A87="","",H87-Dashboard!$B$5)</f>
        <v/>
      </c>
      <c r="J87" s="12">
        <f>IF($A87="","",G87-I87)</f>
        <v/>
      </c>
      <c r="K87" s="10">
        <f>IF($A87="","",IF(G87&lt;I87,"BREACH","ok"))</f>
        <v/>
      </c>
    </row>
    <row r="88">
      <c r="A88" s="18" t="n"/>
      <c r="B88" s="10">
        <f>IF($A88="","",COUNTIFS('Trade Log'!$B$3:$B$152,$A88))</f>
        <v/>
      </c>
      <c r="C88" s="10">
        <f>IF($A88="","",COUNTIFS('Trade Log'!$B$3:$B$152,$A88,'Trade Log'!$AC$3:$AC$152,1))</f>
        <v/>
      </c>
      <c r="D88" s="10">
        <f>IF($A88="","",COUNTIFS('Trade Log'!$B$3:$B$152,$A88,'Trade Log'!$AC$3:$AC$152,0))</f>
        <v/>
      </c>
      <c r="E88" s="12">
        <f>IF($A88="","",SUMIFS('Trade Log'!$AA$3:$AA$152,'Trade Log'!$B$3:$B$152,$A88))</f>
        <v/>
      </c>
      <c r="F88" s="11">
        <f>IFERROR(E88/Dashboard!$B$4,"")</f>
        <v/>
      </c>
      <c r="G88" s="12">
        <f>IF($A88="","",Dashboard!$B$4+SUMIFS('Trade Log'!$AA$3:$AA$152,'Trade Log'!$B$3:$B$152,"&lt;="&amp;$A88))</f>
        <v/>
      </c>
      <c r="H88" s="12">
        <f>IF($A88="","",MIN(Dashboard!$B$7,MAX(IF(H87="",Dashboard!$B$4,H87),G88)))</f>
        <v/>
      </c>
      <c r="I88" s="12">
        <f>IF($A88="","",H88-Dashboard!$B$5)</f>
        <v/>
      </c>
      <c r="J88" s="12">
        <f>IF($A88="","",G88-I88)</f>
        <v/>
      </c>
      <c r="K88" s="10">
        <f>IF($A88="","",IF(G88&lt;I88,"BREACH","ok"))</f>
        <v/>
      </c>
    </row>
    <row r="89">
      <c r="A89" s="18" t="n"/>
      <c r="B89" s="10">
        <f>IF($A89="","",COUNTIFS('Trade Log'!$B$3:$B$152,$A89))</f>
        <v/>
      </c>
      <c r="C89" s="10">
        <f>IF($A89="","",COUNTIFS('Trade Log'!$B$3:$B$152,$A89,'Trade Log'!$AC$3:$AC$152,1))</f>
        <v/>
      </c>
      <c r="D89" s="10">
        <f>IF($A89="","",COUNTIFS('Trade Log'!$B$3:$B$152,$A89,'Trade Log'!$AC$3:$AC$152,0))</f>
        <v/>
      </c>
      <c r="E89" s="12">
        <f>IF($A89="","",SUMIFS('Trade Log'!$AA$3:$AA$152,'Trade Log'!$B$3:$B$152,$A89))</f>
        <v/>
      </c>
      <c r="F89" s="11">
        <f>IFERROR(E89/Dashboard!$B$4,"")</f>
        <v/>
      </c>
      <c r="G89" s="12">
        <f>IF($A89="","",Dashboard!$B$4+SUMIFS('Trade Log'!$AA$3:$AA$152,'Trade Log'!$B$3:$B$152,"&lt;="&amp;$A89))</f>
        <v/>
      </c>
      <c r="H89" s="12">
        <f>IF($A89="","",MIN(Dashboard!$B$7,MAX(IF(H88="",Dashboard!$B$4,H88),G89)))</f>
        <v/>
      </c>
      <c r="I89" s="12">
        <f>IF($A89="","",H89-Dashboard!$B$5)</f>
        <v/>
      </c>
      <c r="J89" s="12">
        <f>IF($A89="","",G89-I89)</f>
        <v/>
      </c>
      <c r="K89" s="10">
        <f>IF($A89="","",IF(G89&lt;I89,"BREACH","ok"))</f>
        <v/>
      </c>
    </row>
    <row r="90">
      <c r="A90" s="18" t="n"/>
      <c r="B90" s="10">
        <f>IF($A90="","",COUNTIFS('Trade Log'!$B$3:$B$152,$A90))</f>
        <v/>
      </c>
      <c r="C90" s="10">
        <f>IF($A90="","",COUNTIFS('Trade Log'!$B$3:$B$152,$A90,'Trade Log'!$AC$3:$AC$152,1))</f>
        <v/>
      </c>
      <c r="D90" s="10">
        <f>IF($A90="","",COUNTIFS('Trade Log'!$B$3:$B$152,$A90,'Trade Log'!$AC$3:$AC$152,0))</f>
        <v/>
      </c>
      <c r="E90" s="12">
        <f>IF($A90="","",SUMIFS('Trade Log'!$AA$3:$AA$152,'Trade Log'!$B$3:$B$152,$A90))</f>
        <v/>
      </c>
      <c r="F90" s="11">
        <f>IFERROR(E90/Dashboard!$B$4,"")</f>
        <v/>
      </c>
      <c r="G90" s="12">
        <f>IF($A90="","",Dashboard!$B$4+SUMIFS('Trade Log'!$AA$3:$AA$152,'Trade Log'!$B$3:$B$152,"&lt;="&amp;$A90))</f>
        <v/>
      </c>
      <c r="H90" s="12">
        <f>IF($A90="","",MIN(Dashboard!$B$7,MAX(IF(H89="",Dashboard!$B$4,H89),G90)))</f>
        <v/>
      </c>
      <c r="I90" s="12">
        <f>IF($A90="","",H90-Dashboard!$B$5)</f>
        <v/>
      </c>
      <c r="J90" s="12">
        <f>IF($A90="","",G90-I90)</f>
        <v/>
      </c>
      <c r="K90" s="10">
        <f>IF($A90="","",IF(G90&lt;I90,"BREACH","ok"))</f>
        <v/>
      </c>
    </row>
    <row r="91">
      <c r="A91" s="18" t="n"/>
      <c r="B91" s="10">
        <f>IF($A91="","",COUNTIFS('Trade Log'!$B$3:$B$152,$A91))</f>
        <v/>
      </c>
      <c r="C91" s="10">
        <f>IF($A91="","",COUNTIFS('Trade Log'!$B$3:$B$152,$A91,'Trade Log'!$AC$3:$AC$152,1))</f>
        <v/>
      </c>
      <c r="D91" s="10">
        <f>IF($A91="","",COUNTIFS('Trade Log'!$B$3:$B$152,$A91,'Trade Log'!$AC$3:$AC$152,0))</f>
        <v/>
      </c>
      <c r="E91" s="12">
        <f>IF($A91="","",SUMIFS('Trade Log'!$AA$3:$AA$152,'Trade Log'!$B$3:$B$152,$A91))</f>
        <v/>
      </c>
      <c r="F91" s="11">
        <f>IFERROR(E91/Dashboard!$B$4,"")</f>
        <v/>
      </c>
      <c r="G91" s="12">
        <f>IF($A91="","",Dashboard!$B$4+SUMIFS('Trade Log'!$AA$3:$AA$152,'Trade Log'!$B$3:$B$152,"&lt;="&amp;$A91))</f>
        <v/>
      </c>
      <c r="H91" s="12">
        <f>IF($A91="","",MIN(Dashboard!$B$7,MAX(IF(H90="",Dashboard!$B$4,H90),G91)))</f>
        <v/>
      </c>
      <c r="I91" s="12">
        <f>IF($A91="","",H91-Dashboard!$B$5)</f>
        <v/>
      </c>
      <c r="J91" s="12">
        <f>IF($A91="","",G91-I91)</f>
        <v/>
      </c>
      <c r="K91" s="10">
        <f>IF($A91="","",IF(G91&lt;I91,"BREACH","ok"))</f>
        <v/>
      </c>
    </row>
    <row r="92">
      <c r="A92" s="18" t="n"/>
      <c r="B92" s="10">
        <f>IF($A92="","",COUNTIFS('Trade Log'!$B$3:$B$152,$A92))</f>
        <v/>
      </c>
      <c r="C92" s="10">
        <f>IF($A92="","",COUNTIFS('Trade Log'!$B$3:$B$152,$A92,'Trade Log'!$AC$3:$AC$152,1))</f>
        <v/>
      </c>
      <c r="D92" s="10">
        <f>IF($A92="","",COUNTIFS('Trade Log'!$B$3:$B$152,$A92,'Trade Log'!$AC$3:$AC$152,0))</f>
        <v/>
      </c>
      <c r="E92" s="12">
        <f>IF($A92="","",SUMIFS('Trade Log'!$AA$3:$AA$152,'Trade Log'!$B$3:$B$152,$A92))</f>
        <v/>
      </c>
      <c r="F92" s="11">
        <f>IFERROR(E92/Dashboard!$B$4,"")</f>
        <v/>
      </c>
      <c r="G92" s="12">
        <f>IF($A92="","",Dashboard!$B$4+SUMIFS('Trade Log'!$AA$3:$AA$152,'Trade Log'!$B$3:$B$152,"&lt;="&amp;$A92))</f>
        <v/>
      </c>
      <c r="H92" s="12">
        <f>IF($A92="","",MIN(Dashboard!$B$7,MAX(IF(H91="",Dashboard!$B$4,H91),G92)))</f>
        <v/>
      </c>
      <c r="I92" s="12">
        <f>IF($A92="","",H92-Dashboard!$B$5)</f>
        <v/>
      </c>
      <c r="J92" s="12">
        <f>IF($A92="","",G92-I92)</f>
        <v/>
      </c>
      <c r="K92" s="10">
        <f>IF($A92="","",IF(G92&lt;I92,"BREACH","ok"))</f>
        <v/>
      </c>
    </row>
    <row r="93">
      <c r="A93" s="18" t="n"/>
      <c r="B93" s="10">
        <f>IF($A93="","",COUNTIFS('Trade Log'!$B$3:$B$152,$A93))</f>
        <v/>
      </c>
      <c r="C93" s="10">
        <f>IF($A93="","",COUNTIFS('Trade Log'!$B$3:$B$152,$A93,'Trade Log'!$AC$3:$AC$152,1))</f>
        <v/>
      </c>
      <c r="D93" s="10">
        <f>IF($A93="","",COUNTIFS('Trade Log'!$B$3:$B$152,$A93,'Trade Log'!$AC$3:$AC$152,0))</f>
        <v/>
      </c>
      <c r="E93" s="12">
        <f>IF($A93="","",SUMIFS('Trade Log'!$AA$3:$AA$152,'Trade Log'!$B$3:$B$152,$A93))</f>
        <v/>
      </c>
      <c r="F93" s="11">
        <f>IFERROR(E93/Dashboard!$B$4,"")</f>
        <v/>
      </c>
      <c r="G93" s="12">
        <f>IF($A93="","",Dashboard!$B$4+SUMIFS('Trade Log'!$AA$3:$AA$152,'Trade Log'!$B$3:$B$152,"&lt;="&amp;$A93))</f>
        <v/>
      </c>
      <c r="H93" s="12">
        <f>IF($A93="","",MIN(Dashboard!$B$7,MAX(IF(H92="",Dashboard!$B$4,H92),G93)))</f>
        <v/>
      </c>
      <c r="I93" s="12">
        <f>IF($A93="","",H93-Dashboard!$B$5)</f>
        <v/>
      </c>
      <c r="J93" s="12">
        <f>IF($A93="","",G93-I93)</f>
        <v/>
      </c>
      <c r="K93" s="10">
        <f>IF($A93="","",IF(G93&lt;I93,"BREACH","ok"))</f>
        <v/>
      </c>
    </row>
    <row r="94">
      <c r="A94" s="18" t="n"/>
      <c r="B94" s="10">
        <f>IF($A94="","",COUNTIFS('Trade Log'!$B$3:$B$152,$A94))</f>
        <v/>
      </c>
      <c r="C94" s="10">
        <f>IF($A94="","",COUNTIFS('Trade Log'!$B$3:$B$152,$A94,'Trade Log'!$AC$3:$AC$152,1))</f>
        <v/>
      </c>
      <c r="D94" s="10">
        <f>IF($A94="","",COUNTIFS('Trade Log'!$B$3:$B$152,$A94,'Trade Log'!$AC$3:$AC$152,0))</f>
        <v/>
      </c>
      <c r="E94" s="12">
        <f>IF($A94="","",SUMIFS('Trade Log'!$AA$3:$AA$152,'Trade Log'!$B$3:$B$152,$A94))</f>
        <v/>
      </c>
      <c r="F94" s="11">
        <f>IFERROR(E94/Dashboard!$B$4,"")</f>
        <v/>
      </c>
      <c r="G94" s="12">
        <f>IF($A94="","",Dashboard!$B$4+SUMIFS('Trade Log'!$AA$3:$AA$152,'Trade Log'!$B$3:$B$152,"&lt;="&amp;$A94))</f>
        <v/>
      </c>
      <c r="H94" s="12">
        <f>IF($A94="","",MIN(Dashboard!$B$7,MAX(IF(H93="",Dashboard!$B$4,H93),G94)))</f>
        <v/>
      </c>
      <c r="I94" s="12">
        <f>IF($A94="","",H94-Dashboard!$B$5)</f>
        <v/>
      </c>
      <c r="J94" s="12">
        <f>IF($A94="","",G94-I94)</f>
        <v/>
      </c>
      <c r="K94" s="10">
        <f>IF($A94="","",IF(G94&lt;I94,"BREACH","ok"))</f>
        <v/>
      </c>
    </row>
    <row r="95">
      <c r="A95" s="18" t="n"/>
      <c r="B95" s="10">
        <f>IF($A95="","",COUNTIFS('Trade Log'!$B$3:$B$152,$A95))</f>
        <v/>
      </c>
      <c r="C95" s="10">
        <f>IF($A95="","",COUNTIFS('Trade Log'!$B$3:$B$152,$A95,'Trade Log'!$AC$3:$AC$152,1))</f>
        <v/>
      </c>
      <c r="D95" s="10">
        <f>IF($A95="","",COUNTIFS('Trade Log'!$B$3:$B$152,$A95,'Trade Log'!$AC$3:$AC$152,0))</f>
        <v/>
      </c>
      <c r="E95" s="12">
        <f>IF($A95="","",SUMIFS('Trade Log'!$AA$3:$AA$152,'Trade Log'!$B$3:$B$152,$A95))</f>
        <v/>
      </c>
      <c r="F95" s="11">
        <f>IFERROR(E95/Dashboard!$B$4,"")</f>
        <v/>
      </c>
      <c r="G95" s="12">
        <f>IF($A95="","",Dashboard!$B$4+SUMIFS('Trade Log'!$AA$3:$AA$152,'Trade Log'!$B$3:$B$152,"&lt;="&amp;$A95))</f>
        <v/>
      </c>
      <c r="H95" s="12">
        <f>IF($A95="","",MIN(Dashboard!$B$7,MAX(IF(H94="",Dashboard!$B$4,H94),G95)))</f>
        <v/>
      </c>
      <c r="I95" s="12">
        <f>IF($A95="","",H95-Dashboard!$B$5)</f>
        <v/>
      </c>
      <c r="J95" s="12">
        <f>IF($A95="","",G95-I95)</f>
        <v/>
      </c>
      <c r="K95" s="10">
        <f>IF($A95="","",IF(G95&lt;I95,"BREACH","ok"))</f>
        <v/>
      </c>
    </row>
    <row r="96">
      <c r="A96" s="18" t="n"/>
      <c r="B96" s="10">
        <f>IF($A96="","",COUNTIFS('Trade Log'!$B$3:$B$152,$A96))</f>
        <v/>
      </c>
      <c r="C96" s="10">
        <f>IF($A96="","",COUNTIFS('Trade Log'!$B$3:$B$152,$A96,'Trade Log'!$AC$3:$AC$152,1))</f>
        <v/>
      </c>
      <c r="D96" s="10">
        <f>IF($A96="","",COUNTIFS('Trade Log'!$B$3:$B$152,$A96,'Trade Log'!$AC$3:$AC$152,0))</f>
        <v/>
      </c>
      <c r="E96" s="12">
        <f>IF($A96="","",SUMIFS('Trade Log'!$AA$3:$AA$152,'Trade Log'!$B$3:$B$152,$A96))</f>
        <v/>
      </c>
      <c r="F96" s="11">
        <f>IFERROR(E96/Dashboard!$B$4,"")</f>
        <v/>
      </c>
      <c r="G96" s="12">
        <f>IF($A96="","",Dashboard!$B$4+SUMIFS('Trade Log'!$AA$3:$AA$152,'Trade Log'!$B$3:$B$152,"&lt;="&amp;$A96))</f>
        <v/>
      </c>
      <c r="H96" s="12">
        <f>IF($A96="","",MIN(Dashboard!$B$7,MAX(IF(H95="",Dashboard!$B$4,H95),G96)))</f>
        <v/>
      </c>
      <c r="I96" s="12">
        <f>IF($A96="","",H96-Dashboard!$B$5)</f>
        <v/>
      </c>
      <c r="J96" s="12">
        <f>IF($A96="","",G96-I96)</f>
        <v/>
      </c>
      <c r="K96" s="10">
        <f>IF($A96="","",IF(G96&lt;I96,"BREACH","ok"))</f>
        <v/>
      </c>
    </row>
    <row r="97">
      <c r="A97" s="18" t="n"/>
      <c r="B97" s="10">
        <f>IF($A97="","",COUNTIFS('Trade Log'!$B$3:$B$152,$A97))</f>
        <v/>
      </c>
      <c r="C97" s="10">
        <f>IF($A97="","",COUNTIFS('Trade Log'!$B$3:$B$152,$A97,'Trade Log'!$AC$3:$AC$152,1))</f>
        <v/>
      </c>
      <c r="D97" s="10">
        <f>IF($A97="","",COUNTIFS('Trade Log'!$B$3:$B$152,$A97,'Trade Log'!$AC$3:$AC$152,0))</f>
        <v/>
      </c>
      <c r="E97" s="12">
        <f>IF($A97="","",SUMIFS('Trade Log'!$AA$3:$AA$152,'Trade Log'!$B$3:$B$152,$A97))</f>
        <v/>
      </c>
      <c r="F97" s="11">
        <f>IFERROR(E97/Dashboard!$B$4,"")</f>
        <v/>
      </c>
      <c r="G97" s="12">
        <f>IF($A97="","",Dashboard!$B$4+SUMIFS('Trade Log'!$AA$3:$AA$152,'Trade Log'!$B$3:$B$152,"&lt;="&amp;$A97))</f>
        <v/>
      </c>
      <c r="H97" s="12">
        <f>IF($A97="","",MIN(Dashboard!$B$7,MAX(IF(H96="",Dashboard!$B$4,H96),G97)))</f>
        <v/>
      </c>
      <c r="I97" s="12">
        <f>IF($A97="","",H97-Dashboard!$B$5)</f>
        <v/>
      </c>
      <c r="J97" s="12">
        <f>IF($A97="","",G97-I97)</f>
        <v/>
      </c>
      <c r="K97" s="10">
        <f>IF($A97="","",IF(G97&lt;I97,"BREACH","ok"))</f>
        <v/>
      </c>
    </row>
    <row r="98">
      <c r="A98" s="18" t="n"/>
      <c r="B98" s="10">
        <f>IF($A98="","",COUNTIFS('Trade Log'!$B$3:$B$152,$A98))</f>
        <v/>
      </c>
      <c r="C98" s="10">
        <f>IF($A98="","",COUNTIFS('Trade Log'!$B$3:$B$152,$A98,'Trade Log'!$AC$3:$AC$152,1))</f>
        <v/>
      </c>
      <c r="D98" s="10">
        <f>IF($A98="","",COUNTIFS('Trade Log'!$B$3:$B$152,$A98,'Trade Log'!$AC$3:$AC$152,0))</f>
        <v/>
      </c>
      <c r="E98" s="12">
        <f>IF($A98="","",SUMIFS('Trade Log'!$AA$3:$AA$152,'Trade Log'!$B$3:$B$152,$A98))</f>
        <v/>
      </c>
      <c r="F98" s="11">
        <f>IFERROR(E98/Dashboard!$B$4,"")</f>
        <v/>
      </c>
      <c r="G98" s="12">
        <f>IF($A98="","",Dashboard!$B$4+SUMIFS('Trade Log'!$AA$3:$AA$152,'Trade Log'!$B$3:$B$152,"&lt;="&amp;$A98))</f>
        <v/>
      </c>
      <c r="H98" s="12">
        <f>IF($A98="","",MIN(Dashboard!$B$7,MAX(IF(H97="",Dashboard!$B$4,H97),G98)))</f>
        <v/>
      </c>
      <c r="I98" s="12">
        <f>IF($A98="","",H98-Dashboard!$B$5)</f>
        <v/>
      </c>
      <c r="J98" s="12">
        <f>IF($A98="","",G98-I98)</f>
        <v/>
      </c>
      <c r="K98" s="10">
        <f>IF($A98="","",IF(G98&lt;I98,"BREACH","ok"))</f>
        <v/>
      </c>
    </row>
    <row r="99">
      <c r="A99" s="18" t="n"/>
      <c r="B99" s="10">
        <f>IF($A99="","",COUNTIFS('Trade Log'!$B$3:$B$152,$A99))</f>
        <v/>
      </c>
      <c r="C99" s="10">
        <f>IF($A99="","",COUNTIFS('Trade Log'!$B$3:$B$152,$A99,'Trade Log'!$AC$3:$AC$152,1))</f>
        <v/>
      </c>
      <c r="D99" s="10">
        <f>IF($A99="","",COUNTIFS('Trade Log'!$B$3:$B$152,$A99,'Trade Log'!$AC$3:$AC$152,0))</f>
        <v/>
      </c>
      <c r="E99" s="12">
        <f>IF($A99="","",SUMIFS('Trade Log'!$AA$3:$AA$152,'Trade Log'!$B$3:$B$152,$A99))</f>
        <v/>
      </c>
      <c r="F99" s="11">
        <f>IFERROR(E99/Dashboard!$B$4,"")</f>
        <v/>
      </c>
      <c r="G99" s="12">
        <f>IF($A99="","",Dashboard!$B$4+SUMIFS('Trade Log'!$AA$3:$AA$152,'Trade Log'!$B$3:$B$152,"&lt;="&amp;$A99))</f>
        <v/>
      </c>
      <c r="H99" s="12">
        <f>IF($A99="","",MIN(Dashboard!$B$7,MAX(IF(H98="",Dashboard!$B$4,H98),G99)))</f>
        <v/>
      </c>
      <c r="I99" s="12">
        <f>IF($A99="","",H99-Dashboard!$B$5)</f>
        <v/>
      </c>
      <c r="J99" s="12">
        <f>IF($A99="","",G99-I99)</f>
        <v/>
      </c>
      <c r="K99" s="10">
        <f>IF($A99="","",IF(G99&lt;I99,"BREACH","ok"))</f>
        <v/>
      </c>
    </row>
    <row r="100">
      <c r="A100" s="18" t="n"/>
      <c r="B100" s="10">
        <f>IF($A100="","",COUNTIFS('Trade Log'!$B$3:$B$152,$A100))</f>
        <v/>
      </c>
      <c r="C100" s="10">
        <f>IF($A100="","",COUNTIFS('Trade Log'!$B$3:$B$152,$A100,'Trade Log'!$AC$3:$AC$152,1))</f>
        <v/>
      </c>
      <c r="D100" s="10">
        <f>IF($A100="","",COUNTIFS('Trade Log'!$B$3:$B$152,$A100,'Trade Log'!$AC$3:$AC$152,0))</f>
        <v/>
      </c>
      <c r="E100" s="12">
        <f>IF($A100="","",SUMIFS('Trade Log'!$AA$3:$AA$152,'Trade Log'!$B$3:$B$152,$A100))</f>
        <v/>
      </c>
      <c r="F100" s="11">
        <f>IFERROR(E100/Dashboard!$B$4,"")</f>
        <v/>
      </c>
      <c r="G100" s="12">
        <f>IF($A100="","",Dashboard!$B$4+SUMIFS('Trade Log'!$AA$3:$AA$152,'Trade Log'!$B$3:$B$152,"&lt;="&amp;$A100))</f>
        <v/>
      </c>
      <c r="H100" s="12">
        <f>IF($A100="","",MIN(Dashboard!$B$7,MAX(IF(H99="",Dashboard!$B$4,H99),G100)))</f>
        <v/>
      </c>
      <c r="I100" s="12">
        <f>IF($A100="","",H100-Dashboard!$B$5)</f>
        <v/>
      </c>
      <c r="J100" s="12">
        <f>IF($A100="","",G100-I100)</f>
        <v/>
      </c>
      <c r="K100" s="10">
        <f>IF($A100="","",IF(G100&lt;I100,"BREACH","ok"))</f>
        <v/>
      </c>
    </row>
    <row r="101">
      <c r="A101" s="18" t="n"/>
      <c r="B101" s="10">
        <f>IF($A101="","",COUNTIFS('Trade Log'!$B$3:$B$152,$A101))</f>
        <v/>
      </c>
      <c r="C101" s="10">
        <f>IF($A101="","",COUNTIFS('Trade Log'!$B$3:$B$152,$A101,'Trade Log'!$AC$3:$AC$152,1))</f>
        <v/>
      </c>
      <c r="D101" s="10">
        <f>IF($A101="","",COUNTIFS('Trade Log'!$B$3:$B$152,$A101,'Trade Log'!$AC$3:$AC$152,0))</f>
        <v/>
      </c>
      <c r="E101" s="12">
        <f>IF($A101="","",SUMIFS('Trade Log'!$AA$3:$AA$152,'Trade Log'!$B$3:$B$152,$A101))</f>
        <v/>
      </c>
      <c r="F101" s="11">
        <f>IFERROR(E101/Dashboard!$B$4,"")</f>
        <v/>
      </c>
      <c r="G101" s="12">
        <f>IF($A101="","",Dashboard!$B$4+SUMIFS('Trade Log'!$AA$3:$AA$152,'Trade Log'!$B$3:$B$152,"&lt;="&amp;$A101))</f>
        <v/>
      </c>
      <c r="H101" s="12">
        <f>IF($A101="","",MIN(Dashboard!$B$7,MAX(IF(H100="",Dashboard!$B$4,H100),G101)))</f>
        <v/>
      </c>
      <c r="I101" s="12">
        <f>IF($A101="","",H101-Dashboard!$B$5)</f>
        <v/>
      </c>
      <c r="J101" s="12">
        <f>IF($A101="","",G101-I101)</f>
        <v/>
      </c>
      <c r="K101" s="10">
        <f>IF($A101="","",IF(G101&lt;I101,"BREACH","ok"))</f>
        <v/>
      </c>
    </row>
    <row r="102">
      <c r="A102" s="18" t="n"/>
      <c r="B102" s="10">
        <f>IF($A102="","",COUNTIFS('Trade Log'!$B$3:$B$152,$A102))</f>
        <v/>
      </c>
      <c r="C102" s="10">
        <f>IF($A102="","",COUNTIFS('Trade Log'!$B$3:$B$152,$A102,'Trade Log'!$AC$3:$AC$152,1))</f>
        <v/>
      </c>
      <c r="D102" s="10">
        <f>IF($A102="","",COUNTIFS('Trade Log'!$B$3:$B$152,$A102,'Trade Log'!$AC$3:$AC$152,0))</f>
        <v/>
      </c>
      <c r="E102" s="12">
        <f>IF($A102="","",SUMIFS('Trade Log'!$AA$3:$AA$152,'Trade Log'!$B$3:$B$152,$A102))</f>
        <v/>
      </c>
      <c r="F102" s="11">
        <f>IFERROR(E102/Dashboard!$B$4,"")</f>
        <v/>
      </c>
      <c r="G102" s="12">
        <f>IF($A102="","",Dashboard!$B$4+SUMIFS('Trade Log'!$AA$3:$AA$152,'Trade Log'!$B$3:$B$152,"&lt;="&amp;$A102))</f>
        <v/>
      </c>
      <c r="H102" s="12">
        <f>IF($A102="","",MIN(Dashboard!$B$7,MAX(IF(H101="",Dashboard!$B$4,H101),G102)))</f>
        <v/>
      </c>
      <c r="I102" s="12">
        <f>IF($A102="","",H102-Dashboard!$B$5)</f>
        <v/>
      </c>
      <c r="J102" s="12">
        <f>IF($A102="","",G102-I102)</f>
        <v/>
      </c>
      <c r="K102" s="10">
        <f>IF($A102="","",IF(G102&lt;I102,"BREACH","ok"))</f>
        <v/>
      </c>
    </row>
    <row r="103">
      <c r="A103" s="18" t="n"/>
      <c r="B103" s="10">
        <f>IF($A103="","",COUNTIFS('Trade Log'!$B$3:$B$152,$A103))</f>
        <v/>
      </c>
      <c r="C103" s="10">
        <f>IF($A103="","",COUNTIFS('Trade Log'!$B$3:$B$152,$A103,'Trade Log'!$AC$3:$AC$152,1))</f>
        <v/>
      </c>
      <c r="D103" s="10">
        <f>IF($A103="","",COUNTIFS('Trade Log'!$B$3:$B$152,$A103,'Trade Log'!$AC$3:$AC$152,0))</f>
        <v/>
      </c>
      <c r="E103" s="12">
        <f>IF($A103="","",SUMIFS('Trade Log'!$AA$3:$AA$152,'Trade Log'!$B$3:$B$152,$A103))</f>
        <v/>
      </c>
      <c r="F103" s="11">
        <f>IFERROR(E103/Dashboard!$B$4,"")</f>
        <v/>
      </c>
      <c r="G103" s="12">
        <f>IF($A103="","",Dashboard!$B$4+SUMIFS('Trade Log'!$AA$3:$AA$152,'Trade Log'!$B$3:$B$152,"&lt;="&amp;$A103))</f>
        <v/>
      </c>
      <c r="H103" s="12">
        <f>IF($A103="","",MIN(Dashboard!$B$7,MAX(IF(H102="",Dashboard!$B$4,H102),G103)))</f>
        <v/>
      </c>
      <c r="I103" s="12">
        <f>IF($A103="","",H103-Dashboard!$B$5)</f>
        <v/>
      </c>
      <c r="J103" s="12">
        <f>IF($A103="","",G103-I103)</f>
        <v/>
      </c>
      <c r="K103" s="10">
        <f>IF($A103="","",IF(G103&lt;I103,"BREACH","ok"))</f>
        <v/>
      </c>
    </row>
    <row r="104">
      <c r="A104" s="18" t="n"/>
      <c r="B104" s="10">
        <f>IF($A104="","",COUNTIFS('Trade Log'!$B$3:$B$152,$A104))</f>
        <v/>
      </c>
      <c r="C104" s="10">
        <f>IF($A104="","",COUNTIFS('Trade Log'!$B$3:$B$152,$A104,'Trade Log'!$AC$3:$AC$152,1))</f>
        <v/>
      </c>
      <c r="D104" s="10">
        <f>IF($A104="","",COUNTIFS('Trade Log'!$B$3:$B$152,$A104,'Trade Log'!$AC$3:$AC$152,0))</f>
        <v/>
      </c>
      <c r="E104" s="12">
        <f>IF($A104="","",SUMIFS('Trade Log'!$AA$3:$AA$152,'Trade Log'!$B$3:$B$152,$A104))</f>
        <v/>
      </c>
      <c r="F104" s="11">
        <f>IFERROR(E104/Dashboard!$B$4,"")</f>
        <v/>
      </c>
      <c r="G104" s="12">
        <f>IF($A104="","",Dashboard!$B$4+SUMIFS('Trade Log'!$AA$3:$AA$152,'Trade Log'!$B$3:$B$152,"&lt;="&amp;$A104))</f>
        <v/>
      </c>
      <c r="H104" s="12">
        <f>IF($A104="","",MIN(Dashboard!$B$7,MAX(IF(H103="",Dashboard!$B$4,H103),G104)))</f>
        <v/>
      </c>
      <c r="I104" s="12">
        <f>IF($A104="","",H104-Dashboard!$B$5)</f>
        <v/>
      </c>
      <c r="J104" s="12">
        <f>IF($A104="","",G104-I104)</f>
        <v/>
      </c>
      <c r="K104" s="10">
        <f>IF($A104="","",IF(G104&lt;I104,"BREACH","ok"))</f>
        <v/>
      </c>
    </row>
    <row r="105">
      <c r="A105" s="18" t="n"/>
      <c r="B105" s="10">
        <f>IF($A105="","",COUNTIFS('Trade Log'!$B$3:$B$152,$A105))</f>
        <v/>
      </c>
      <c r="C105" s="10">
        <f>IF($A105="","",COUNTIFS('Trade Log'!$B$3:$B$152,$A105,'Trade Log'!$AC$3:$AC$152,1))</f>
        <v/>
      </c>
      <c r="D105" s="10">
        <f>IF($A105="","",COUNTIFS('Trade Log'!$B$3:$B$152,$A105,'Trade Log'!$AC$3:$AC$152,0))</f>
        <v/>
      </c>
      <c r="E105" s="12">
        <f>IF($A105="","",SUMIFS('Trade Log'!$AA$3:$AA$152,'Trade Log'!$B$3:$B$152,$A105))</f>
        <v/>
      </c>
      <c r="F105" s="11">
        <f>IFERROR(E105/Dashboard!$B$4,"")</f>
        <v/>
      </c>
      <c r="G105" s="12">
        <f>IF($A105="","",Dashboard!$B$4+SUMIFS('Trade Log'!$AA$3:$AA$152,'Trade Log'!$B$3:$B$152,"&lt;="&amp;$A105))</f>
        <v/>
      </c>
      <c r="H105" s="12">
        <f>IF($A105="","",MIN(Dashboard!$B$7,MAX(IF(H104="",Dashboard!$B$4,H104),G105)))</f>
        <v/>
      </c>
      <c r="I105" s="12">
        <f>IF($A105="","",H105-Dashboard!$B$5)</f>
        <v/>
      </c>
      <c r="J105" s="12">
        <f>IF($A105="","",G105-I105)</f>
        <v/>
      </c>
      <c r="K105" s="10">
        <f>IF($A105="","",IF(G105&lt;I105,"BREACH","ok"))</f>
        <v/>
      </c>
    </row>
    <row r="106">
      <c r="A106" s="18" t="n"/>
      <c r="B106" s="10">
        <f>IF($A106="","",COUNTIFS('Trade Log'!$B$3:$B$152,$A106))</f>
        <v/>
      </c>
      <c r="C106" s="10">
        <f>IF($A106="","",COUNTIFS('Trade Log'!$B$3:$B$152,$A106,'Trade Log'!$AC$3:$AC$152,1))</f>
        <v/>
      </c>
      <c r="D106" s="10">
        <f>IF($A106="","",COUNTIFS('Trade Log'!$B$3:$B$152,$A106,'Trade Log'!$AC$3:$AC$152,0))</f>
        <v/>
      </c>
      <c r="E106" s="12">
        <f>IF($A106="","",SUMIFS('Trade Log'!$AA$3:$AA$152,'Trade Log'!$B$3:$B$152,$A106))</f>
        <v/>
      </c>
      <c r="F106" s="11">
        <f>IFERROR(E106/Dashboard!$B$4,"")</f>
        <v/>
      </c>
      <c r="G106" s="12">
        <f>IF($A106="","",Dashboard!$B$4+SUMIFS('Trade Log'!$AA$3:$AA$152,'Trade Log'!$B$3:$B$152,"&lt;="&amp;$A106))</f>
        <v/>
      </c>
      <c r="H106" s="12">
        <f>IF($A106="","",MIN(Dashboard!$B$7,MAX(IF(H105="",Dashboard!$B$4,H105),G106)))</f>
        <v/>
      </c>
      <c r="I106" s="12">
        <f>IF($A106="","",H106-Dashboard!$B$5)</f>
        <v/>
      </c>
      <c r="J106" s="12">
        <f>IF($A106="","",G106-I106)</f>
        <v/>
      </c>
      <c r="K106" s="10">
        <f>IF($A106="","",IF(G106&lt;I106,"BREACH","ok"))</f>
        <v/>
      </c>
    </row>
    <row r="107">
      <c r="A107" s="18" t="n"/>
      <c r="B107" s="10">
        <f>IF($A107="","",COUNTIFS('Trade Log'!$B$3:$B$152,$A107))</f>
        <v/>
      </c>
      <c r="C107" s="10">
        <f>IF($A107="","",COUNTIFS('Trade Log'!$B$3:$B$152,$A107,'Trade Log'!$AC$3:$AC$152,1))</f>
        <v/>
      </c>
      <c r="D107" s="10">
        <f>IF($A107="","",COUNTIFS('Trade Log'!$B$3:$B$152,$A107,'Trade Log'!$AC$3:$AC$152,0))</f>
        <v/>
      </c>
      <c r="E107" s="12">
        <f>IF($A107="","",SUMIFS('Trade Log'!$AA$3:$AA$152,'Trade Log'!$B$3:$B$152,$A107))</f>
        <v/>
      </c>
      <c r="F107" s="11">
        <f>IFERROR(E107/Dashboard!$B$4,"")</f>
        <v/>
      </c>
      <c r="G107" s="12">
        <f>IF($A107="","",Dashboard!$B$4+SUMIFS('Trade Log'!$AA$3:$AA$152,'Trade Log'!$B$3:$B$152,"&lt;="&amp;$A107))</f>
        <v/>
      </c>
      <c r="H107" s="12">
        <f>IF($A107="","",MIN(Dashboard!$B$7,MAX(IF(H106="",Dashboard!$B$4,H106),G107)))</f>
        <v/>
      </c>
      <c r="I107" s="12">
        <f>IF($A107="","",H107-Dashboard!$B$5)</f>
        <v/>
      </c>
      <c r="J107" s="12">
        <f>IF($A107="","",G107-I107)</f>
        <v/>
      </c>
      <c r="K107" s="10">
        <f>IF($A107="","",IF(G107&lt;I107,"BREACH","ok"))</f>
        <v/>
      </c>
    </row>
    <row r="108">
      <c r="A108" s="18" t="n"/>
      <c r="B108" s="10">
        <f>IF($A108="","",COUNTIFS('Trade Log'!$B$3:$B$152,$A108))</f>
        <v/>
      </c>
      <c r="C108" s="10">
        <f>IF($A108="","",COUNTIFS('Trade Log'!$B$3:$B$152,$A108,'Trade Log'!$AC$3:$AC$152,1))</f>
        <v/>
      </c>
      <c r="D108" s="10">
        <f>IF($A108="","",COUNTIFS('Trade Log'!$B$3:$B$152,$A108,'Trade Log'!$AC$3:$AC$152,0))</f>
        <v/>
      </c>
      <c r="E108" s="12">
        <f>IF($A108="","",SUMIFS('Trade Log'!$AA$3:$AA$152,'Trade Log'!$B$3:$B$152,$A108))</f>
        <v/>
      </c>
      <c r="F108" s="11">
        <f>IFERROR(E108/Dashboard!$B$4,"")</f>
        <v/>
      </c>
      <c r="G108" s="12">
        <f>IF($A108="","",Dashboard!$B$4+SUMIFS('Trade Log'!$AA$3:$AA$152,'Trade Log'!$B$3:$B$152,"&lt;="&amp;$A108))</f>
        <v/>
      </c>
      <c r="H108" s="12">
        <f>IF($A108="","",MIN(Dashboard!$B$7,MAX(IF(H107="",Dashboard!$B$4,H107),G108)))</f>
        <v/>
      </c>
      <c r="I108" s="12">
        <f>IF($A108="","",H108-Dashboard!$B$5)</f>
        <v/>
      </c>
      <c r="J108" s="12">
        <f>IF($A108="","",G108-I108)</f>
        <v/>
      </c>
      <c r="K108" s="10">
        <f>IF($A108="","",IF(G108&lt;I108,"BREACH","ok"))</f>
        <v/>
      </c>
    </row>
    <row r="109">
      <c r="A109" s="18" t="n"/>
      <c r="B109" s="10">
        <f>IF($A109="","",COUNTIFS('Trade Log'!$B$3:$B$152,$A109))</f>
        <v/>
      </c>
      <c r="C109" s="10">
        <f>IF($A109="","",COUNTIFS('Trade Log'!$B$3:$B$152,$A109,'Trade Log'!$AC$3:$AC$152,1))</f>
        <v/>
      </c>
      <c r="D109" s="10">
        <f>IF($A109="","",COUNTIFS('Trade Log'!$B$3:$B$152,$A109,'Trade Log'!$AC$3:$AC$152,0))</f>
        <v/>
      </c>
      <c r="E109" s="12">
        <f>IF($A109="","",SUMIFS('Trade Log'!$AA$3:$AA$152,'Trade Log'!$B$3:$B$152,$A109))</f>
        <v/>
      </c>
      <c r="F109" s="11">
        <f>IFERROR(E109/Dashboard!$B$4,"")</f>
        <v/>
      </c>
      <c r="G109" s="12">
        <f>IF($A109="","",Dashboard!$B$4+SUMIFS('Trade Log'!$AA$3:$AA$152,'Trade Log'!$B$3:$B$152,"&lt;="&amp;$A109))</f>
        <v/>
      </c>
      <c r="H109" s="12">
        <f>IF($A109="","",MIN(Dashboard!$B$7,MAX(IF(H108="",Dashboard!$B$4,H108),G109)))</f>
        <v/>
      </c>
      <c r="I109" s="12">
        <f>IF($A109="","",H109-Dashboard!$B$5)</f>
        <v/>
      </c>
      <c r="J109" s="12">
        <f>IF($A109="","",G109-I109)</f>
        <v/>
      </c>
      <c r="K109" s="10">
        <f>IF($A109="","",IF(G109&lt;I109,"BREACH","ok"))</f>
        <v/>
      </c>
    </row>
    <row r="110">
      <c r="A110" s="18" t="n"/>
      <c r="B110" s="10">
        <f>IF($A110="","",COUNTIFS('Trade Log'!$B$3:$B$152,$A110))</f>
        <v/>
      </c>
      <c r="C110" s="10">
        <f>IF($A110="","",COUNTIFS('Trade Log'!$B$3:$B$152,$A110,'Trade Log'!$AC$3:$AC$152,1))</f>
        <v/>
      </c>
      <c r="D110" s="10">
        <f>IF($A110="","",COUNTIFS('Trade Log'!$B$3:$B$152,$A110,'Trade Log'!$AC$3:$AC$152,0))</f>
        <v/>
      </c>
      <c r="E110" s="12">
        <f>IF($A110="","",SUMIFS('Trade Log'!$AA$3:$AA$152,'Trade Log'!$B$3:$B$152,$A110))</f>
        <v/>
      </c>
      <c r="F110" s="11">
        <f>IFERROR(E110/Dashboard!$B$4,"")</f>
        <v/>
      </c>
      <c r="G110" s="12">
        <f>IF($A110="","",Dashboard!$B$4+SUMIFS('Trade Log'!$AA$3:$AA$152,'Trade Log'!$B$3:$B$152,"&lt;="&amp;$A110))</f>
        <v/>
      </c>
      <c r="H110" s="12">
        <f>IF($A110="","",MIN(Dashboard!$B$7,MAX(IF(H109="",Dashboard!$B$4,H109),G110)))</f>
        <v/>
      </c>
      <c r="I110" s="12">
        <f>IF($A110="","",H110-Dashboard!$B$5)</f>
        <v/>
      </c>
      <c r="J110" s="12">
        <f>IF($A110="","",G110-I110)</f>
        <v/>
      </c>
      <c r="K110" s="10">
        <f>IF($A110="","",IF(G110&lt;I110,"BREACH","ok"))</f>
        <v/>
      </c>
    </row>
    <row r="111">
      <c r="A111" s="18" t="n"/>
      <c r="B111" s="10">
        <f>IF($A111="","",COUNTIFS('Trade Log'!$B$3:$B$152,$A111))</f>
        <v/>
      </c>
      <c r="C111" s="10">
        <f>IF($A111="","",COUNTIFS('Trade Log'!$B$3:$B$152,$A111,'Trade Log'!$AC$3:$AC$152,1))</f>
        <v/>
      </c>
      <c r="D111" s="10">
        <f>IF($A111="","",COUNTIFS('Trade Log'!$B$3:$B$152,$A111,'Trade Log'!$AC$3:$AC$152,0))</f>
        <v/>
      </c>
      <c r="E111" s="12">
        <f>IF($A111="","",SUMIFS('Trade Log'!$AA$3:$AA$152,'Trade Log'!$B$3:$B$152,$A111))</f>
        <v/>
      </c>
      <c r="F111" s="11">
        <f>IFERROR(E111/Dashboard!$B$4,"")</f>
        <v/>
      </c>
      <c r="G111" s="12">
        <f>IF($A111="","",Dashboard!$B$4+SUMIFS('Trade Log'!$AA$3:$AA$152,'Trade Log'!$B$3:$B$152,"&lt;="&amp;$A111))</f>
        <v/>
      </c>
      <c r="H111" s="12">
        <f>IF($A111="","",MIN(Dashboard!$B$7,MAX(IF(H110="",Dashboard!$B$4,H110),G111)))</f>
        <v/>
      </c>
      <c r="I111" s="12">
        <f>IF($A111="","",H111-Dashboard!$B$5)</f>
        <v/>
      </c>
      <c r="J111" s="12">
        <f>IF($A111="","",G111-I111)</f>
        <v/>
      </c>
      <c r="K111" s="10">
        <f>IF($A111="","",IF(G111&lt;I111,"BREACH","ok"))</f>
        <v/>
      </c>
    </row>
    <row r="112">
      <c r="A112" s="18" t="n"/>
      <c r="B112" s="10">
        <f>IF($A112="","",COUNTIFS('Trade Log'!$B$3:$B$152,$A112))</f>
        <v/>
      </c>
      <c r="C112" s="10">
        <f>IF($A112="","",COUNTIFS('Trade Log'!$B$3:$B$152,$A112,'Trade Log'!$AC$3:$AC$152,1))</f>
        <v/>
      </c>
      <c r="D112" s="10">
        <f>IF($A112="","",COUNTIFS('Trade Log'!$B$3:$B$152,$A112,'Trade Log'!$AC$3:$AC$152,0))</f>
        <v/>
      </c>
      <c r="E112" s="12">
        <f>IF($A112="","",SUMIFS('Trade Log'!$AA$3:$AA$152,'Trade Log'!$B$3:$B$152,$A112))</f>
        <v/>
      </c>
      <c r="F112" s="11">
        <f>IFERROR(E112/Dashboard!$B$4,"")</f>
        <v/>
      </c>
      <c r="G112" s="12">
        <f>IF($A112="","",Dashboard!$B$4+SUMIFS('Trade Log'!$AA$3:$AA$152,'Trade Log'!$B$3:$B$152,"&lt;="&amp;$A112))</f>
        <v/>
      </c>
      <c r="H112" s="12">
        <f>IF($A112="","",MIN(Dashboard!$B$7,MAX(IF(H111="",Dashboard!$B$4,H111),G112)))</f>
        <v/>
      </c>
      <c r="I112" s="12">
        <f>IF($A112="","",H112-Dashboard!$B$5)</f>
        <v/>
      </c>
      <c r="J112" s="12">
        <f>IF($A112="","",G112-I112)</f>
        <v/>
      </c>
      <c r="K112" s="10">
        <f>IF($A112="","",IF(G112&lt;I112,"BREACH","ok"))</f>
        <v/>
      </c>
    </row>
    <row r="113">
      <c r="A113" s="18" t="n"/>
      <c r="B113" s="10">
        <f>IF($A113="","",COUNTIFS('Trade Log'!$B$3:$B$152,$A113))</f>
        <v/>
      </c>
      <c r="C113" s="10">
        <f>IF($A113="","",COUNTIFS('Trade Log'!$B$3:$B$152,$A113,'Trade Log'!$AC$3:$AC$152,1))</f>
        <v/>
      </c>
      <c r="D113" s="10">
        <f>IF($A113="","",COUNTIFS('Trade Log'!$B$3:$B$152,$A113,'Trade Log'!$AC$3:$AC$152,0))</f>
        <v/>
      </c>
      <c r="E113" s="12">
        <f>IF($A113="","",SUMIFS('Trade Log'!$AA$3:$AA$152,'Trade Log'!$B$3:$B$152,$A113))</f>
        <v/>
      </c>
      <c r="F113" s="11">
        <f>IFERROR(E113/Dashboard!$B$4,"")</f>
        <v/>
      </c>
      <c r="G113" s="12">
        <f>IF($A113="","",Dashboard!$B$4+SUMIFS('Trade Log'!$AA$3:$AA$152,'Trade Log'!$B$3:$B$152,"&lt;="&amp;$A113))</f>
        <v/>
      </c>
      <c r="H113" s="12">
        <f>IF($A113="","",MIN(Dashboard!$B$7,MAX(IF(H112="",Dashboard!$B$4,H112),G113)))</f>
        <v/>
      </c>
      <c r="I113" s="12">
        <f>IF($A113="","",H113-Dashboard!$B$5)</f>
        <v/>
      </c>
      <c r="J113" s="12">
        <f>IF($A113="","",G113-I113)</f>
        <v/>
      </c>
      <c r="K113" s="10">
        <f>IF($A113="","",IF(G113&lt;I113,"BREACH","ok"))</f>
        <v/>
      </c>
    </row>
    <row r="114">
      <c r="A114" s="18" t="n"/>
      <c r="B114" s="10">
        <f>IF($A114="","",COUNTIFS('Trade Log'!$B$3:$B$152,$A114))</f>
        <v/>
      </c>
      <c r="C114" s="10">
        <f>IF($A114="","",COUNTIFS('Trade Log'!$B$3:$B$152,$A114,'Trade Log'!$AC$3:$AC$152,1))</f>
        <v/>
      </c>
      <c r="D114" s="10">
        <f>IF($A114="","",COUNTIFS('Trade Log'!$B$3:$B$152,$A114,'Trade Log'!$AC$3:$AC$152,0))</f>
        <v/>
      </c>
      <c r="E114" s="12">
        <f>IF($A114="","",SUMIFS('Trade Log'!$AA$3:$AA$152,'Trade Log'!$B$3:$B$152,$A114))</f>
        <v/>
      </c>
      <c r="F114" s="11">
        <f>IFERROR(E114/Dashboard!$B$4,"")</f>
        <v/>
      </c>
      <c r="G114" s="12">
        <f>IF($A114="","",Dashboard!$B$4+SUMIFS('Trade Log'!$AA$3:$AA$152,'Trade Log'!$B$3:$B$152,"&lt;="&amp;$A114))</f>
        <v/>
      </c>
      <c r="H114" s="12">
        <f>IF($A114="","",MIN(Dashboard!$B$7,MAX(IF(H113="",Dashboard!$B$4,H113),G114)))</f>
        <v/>
      </c>
      <c r="I114" s="12">
        <f>IF($A114="","",H114-Dashboard!$B$5)</f>
        <v/>
      </c>
      <c r="J114" s="12">
        <f>IF($A114="","",G114-I114)</f>
        <v/>
      </c>
      <c r="K114" s="10">
        <f>IF($A114="","",IF(G114&lt;I114,"BREACH","ok"))</f>
        <v/>
      </c>
    </row>
    <row r="115">
      <c r="A115" s="18" t="n"/>
      <c r="B115" s="10">
        <f>IF($A115="","",COUNTIFS('Trade Log'!$B$3:$B$152,$A115))</f>
        <v/>
      </c>
      <c r="C115" s="10">
        <f>IF($A115="","",COUNTIFS('Trade Log'!$B$3:$B$152,$A115,'Trade Log'!$AC$3:$AC$152,1))</f>
        <v/>
      </c>
      <c r="D115" s="10">
        <f>IF($A115="","",COUNTIFS('Trade Log'!$B$3:$B$152,$A115,'Trade Log'!$AC$3:$AC$152,0))</f>
        <v/>
      </c>
      <c r="E115" s="12">
        <f>IF($A115="","",SUMIFS('Trade Log'!$AA$3:$AA$152,'Trade Log'!$B$3:$B$152,$A115))</f>
        <v/>
      </c>
      <c r="F115" s="11">
        <f>IFERROR(E115/Dashboard!$B$4,"")</f>
        <v/>
      </c>
      <c r="G115" s="12">
        <f>IF($A115="","",Dashboard!$B$4+SUMIFS('Trade Log'!$AA$3:$AA$152,'Trade Log'!$B$3:$B$152,"&lt;="&amp;$A115))</f>
        <v/>
      </c>
      <c r="H115" s="12">
        <f>IF($A115="","",MIN(Dashboard!$B$7,MAX(IF(H114="",Dashboard!$B$4,H114),G115)))</f>
        <v/>
      </c>
      <c r="I115" s="12">
        <f>IF($A115="","",H115-Dashboard!$B$5)</f>
        <v/>
      </c>
      <c r="J115" s="12">
        <f>IF($A115="","",G115-I115)</f>
        <v/>
      </c>
      <c r="K115" s="10">
        <f>IF($A115="","",IF(G115&lt;I115,"BREACH","ok"))</f>
        <v/>
      </c>
    </row>
    <row r="116">
      <c r="A116" s="18" t="n"/>
      <c r="B116" s="10">
        <f>IF($A116="","",COUNTIFS('Trade Log'!$B$3:$B$152,$A116))</f>
        <v/>
      </c>
      <c r="C116" s="10">
        <f>IF($A116="","",COUNTIFS('Trade Log'!$B$3:$B$152,$A116,'Trade Log'!$AC$3:$AC$152,1))</f>
        <v/>
      </c>
      <c r="D116" s="10">
        <f>IF($A116="","",COUNTIFS('Trade Log'!$B$3:$B$152,$A116,'Trade Log'!$AC$3:$AC$152,0))</f>
        <v/>
      </c>
      <c r="E116" s="12">
        <f>IF($A116="","",SUMIFS('Trade Log'!$AA$3:$AA$152,'Trade Log'!$B$3:$B$152,$A116))</f>
        <v/>
      </c>
      <c r="F116" s="11">
        <f>IFERROR(E116/Dashboard!$B$4,"")</f>
        <v/>
      </c>
      <c r="G116" s="12">
        <f>IF($A116="","",Dashboard!$B$4+SUMIFS('Trade Log'!$AA$3:$AA$152,'Trade Log'!$B$3:$B$152,"&lt;="&amp;$A116))</f>
        <v/>
      </c>
      <c r="H116" s="12">
        <f>IF($A116="","",MIN(Dashboard!$B$7,MAX(IF(H115="",Dashboard!$B$4,H115),G116)))</f>
        <v/>
      </c>
      <c r="I116" s="12">
        <f>IF($A116="","",H116-Dashboard!$B$5)</f>
        <v/>
      </c>
      <c r="J116" s="12">
        <f>IF($A116="","",G116-I116)</f>
        <v/>
      </c>
      <c r="K116" s="10">
        <f>IF($A116="","",IF(G116&lt;I116,"BREACH","ok"))</f>
        <v/>
      </c>
    </row>
    <row r="117">
      <c r="A117" s="18" t="n"/>
      <c r="B117" s="10">
        <f>IF($A117="","",COUNTIFS('Trade Log'!$B$3:$B$152,$A117))</f>
        <v/>
      </c>
      <c r="C117" s="10">
        <f>IF($A117="","",COUNTIFS('Trade Log'!$B$3:$B$152,$A117,'Trade Log'!$AC$3:$AC$152,1))</f>
        <v/>
      </c>
      <c r="D117" s="10">
        <f>IF($A117="","",COUNTIFS('Trade Log'!$B$3:$B$152,$A117,'Trade Log'!$AC$3:$AC$152,0))</f>
        <v/>
      </c>
      <c r="E117" s="12">
        <f>IF($A117="","",SUMIFS('Trade Log'!$AA$3:$AA$152,'Trade Log'!$B$3:$B$152,$A117))</f>
        <v/>
      </c>
      <c r="F117" s="11">
        <f>IFERROR(E117/Dashboard!$B$4,"")</f>
        <v/>
      </c>
      <c r="G117" s="12">
        <f>IF($A117="","",Dashboard!$B$4+SUMIFS('Trade Log'!$AA$3:$AA$152,'Trade Log'!$B$3:$B$152,"&lt;="&amp;$A117))</f>
        <v/>
      </c>
      <c r="H117" s="12">
        <f>IF($A117="","",MIN(Dashboard!$B$7,MAX(IF(H116="",Dashboard!$B$4,H116),G117)))</f>
        <v/>
      </c>
      <c r="I117" s="12">
        <f>IF($A117="","",H117-Dashboard!$B$5)</f>
        <v/>
      </c>
      <c r="J117" s="12">
        <f>IF($A117="","",G117-I117)</f>
        <v/>
      </c>
      <c r="K117" s="10">
        <f>IF($A117="","",IF(G117&lt;I117,"BREACH","ok"))</f>
        <v/>
      </c>
    </row>
    <row r="118">
      <c r="A118" s="18" t="n"/>
      <c r="B118" s="10">
        <f>IF($A118="","",COUNTIFS('Trade Log'!$B$3:$B$152,$A118))</f>
        <v/>
      </c>
      <c r="C118" s="10">
        <f>IF($A118="","",COUNTIFS('Trade Log'!$B$3:$B$152,$A118,'Trade Log'!$AC$3:$AC$152,1))</f>
        <v/>
      </c>
      <c r="D118" s="10">
        <f>IF($A118="","",COUNTIFS('Trade Log'!$B$3:$B$152,$A118,'Trade Log'!$AC$3:$AC$152,0))</f>
        <v/>
      </c>
      <c r="E118" s="12">
        <f>IF($A118="","",SUMIFS('Trade Log'!$AA$3:$AA$152,'Trade Log'!$B$3:$B$152,$A118))</f>
        <v/>
      </c>
      <c r="F118" s="11">
        <f>IFERROR(E118/Dashboard!$B$4,"")</f>
        <v/>
      </c>
      <c r="G118" s="12">
        <f>IF($A118="","",Dashboard!$B$4+SUMIFS('Trade Log'!$AA$3:$AA$152,'Trade Log'!$B$3:$B$152,"&lt;="&amp;$A118))</f>
        <v/>
      </c>
      <c r="H118" s="12">
        <f>IF($A118="","",MIN(Dashboard!$B$7,MAX(IF(H117="",Dashboard!$B$4,H117),G118)))</f>
        <v/>
      </c>
      <c r="I118" s="12">
        <f>IF($A118="","",H118-Dashboard!$B$5)</f>
        <v/>
      </c>
      <c r="J118" s="12">
        <f>IF($A118="","",G118-I118)</f>
        <v/>
      </c>
      <c r="K118" s="10">
        <f>IF($A118="","",IF(G118&lt;I118,"BREACH","ok"))</f>
        <v/>
      </c>
    </row>
    <row r="119">
      <c r="A119" s="18" t="n"/>
      <c r="B119" s="10">
        <f>IF($A119="","",COUNTIFS('Trade Log'!$B$3:$B$152,$A119))</f>
        <v/>
      </c>
      <c r="C119" s="10">
        <f>IF($A119="","",COUNTIFS('Trade Log'!$B$3:$B$152,$A119,'Trade Log'!$AC$3:$AC$152,1))</f>
        <v/>
      </c>
      <c r="D119" s="10">
        <f>IF($A119="","",COUNTIFS('Trade Log'!$B$3:$B$152,$A119,'Trade Log'!$AC$3:$AC$152,0))</f>
        <v/>
      </c>
      <c r="E119" s="12">
        <f>IF($A119="","",SUMIFS('Trade Log'!$AA$3:$AA$152,'Trade Log'!$B$3:$B$152,$A119))</f>
        <v/>
      </c>
      <c r="F119" s="11">
        <f>IFERROR(E119/Dashboard!$B$4,"")</f>
        <v/>
      </c>
      <c r="G119" s="12">
        <f>IF($A119="","",Dashboard!$B$4+SUMIFS('Trade Log'!$AA$3:$AA$152,'Trade Log'!$B$3:$B$152,"&lt;="&amp;$A119))</f>
        <v/>
      </c>
      <c r="H119" s="12">
        <f>IF($A119="","",MIN(Dashboard!$B$7,MAX(IF(H118="",Dashboard!$B$4,H118),G119)))</f>
        <v/>
      </c>
      <c r="I119" s="12">
        <f>IF($A119="","",H119-Dashboard!$B$5)</f>
        <v/>
      </c>
      <c r="J119" s="12">
        <f>IF($A119="","",G119-I119)</f>
        <v/>
      </c>
      <c r="K119" s="10">
        <f>IF($A119="","",IF(G119&lt;I119,"BREACH","ok"))</f>
        <v/>
      </c>
    </row>
    <row r="120">
      <c r="A120" s="18" t="n"/>
      <c r="B120" s="10">
        <f>IF($A120="","",COUNTIFS('Trade Log'!$B$3:$B$152,$A120))</f>
        <v/>
      </c>
      <c r="C120" s="10">
        <f>IF($A120="","",COUNTIFS('Trade Log'!$B$3:$B$152,$A120,'Trade Log'!$AC$3:$AC$152,1))</f>
        <v/>
      </c>
      <c r="D120" s="10">
        <f>IF($A120="","",COUNTIFS('Trade Log'!$B$3:$B$152,$A120,'Trade Log'!$AC$3:$AC$152,0))</f>
        <v/>
      </c>
      <c r="E120" s="12">
        <f>IF($A120="","",SUMIFS('Trade Log'!$AA$3:$AA$152,'Trade Log'!$B$3:$B$152,$A120))</f>
        <v/>
      </c>
      <c r="F120" s="11">
        <f>IFERROR(E120/Dashboard!$B$4,"")</f>
        <v/>
      </c>
      <c r="G120" s="12">
        <f>IF($A120="","",Dashboard!$B$4+SUMIFS('Trade Log'!$AA$3:$AA$152,'Trade Log'!$B$3:$B$152,"&lt;="&amp;$A120))</f>
        <v/>
      </c>
      <c r="H120" s="12">
        <f>IF($A120="","",MIN(Dashboard!$B$7,MAX(IF(H119="",Dashboard!$B$4,H119),G120)))</f>
        <v/>
      </c>
      <c r="I120" s="12">
        <f>IF($A120="","",H120-Dashboard!$B$5)</f>
        <v/>
      </c>
      <c r="J120" s="12">
        <f>IF($A120="","",G120-I120)</f>
        <v/>
      </c>
      <c r="K120" s="10">
        <f>IF($A120="","",IF(G120&lt;I120,"BREACH","ok"))</f>
        <v/>
      </c>
    </row>
    <row r="121">
      <c r="A121" s="18" t="n"/>
      <c r="B121" s="10">
        <f>IF($A121="","",COUNTIFS('Trade Log'!$B$3:$B$152,$A121))</f>
        <v/>
      </c>
      <c r="C121" s="10">
        <f>IF($A121="","",COUNTIFS('Trade Log'!$B$3:$B$152,$A121,'Trade Log'!$AC$3:$AC$152,1))</f>
        <v/>
      </c>
      <c r="D121" s="10">
        <f>IF($A121="","",COUNTIFS('Trade Log'!$B$3:$B$152,$A121,'Trade Log'!$AC$3:$AC$152,0))</f>
        <v/>
      </c>
      <c r="E121" s="12">
        <f>IF($A121="","",SUMIFS('Trade Log'!$AA$3:$AA$152,'Trade Log'!$B$3:$B$152,$A121))</f>
        <v/>
      </c>
      <c r="F121" s="11">
        <f>IFERROR(E121/Dashboard!$B$4,"")</f>
        <v/>
      </c>
      <c r="G121" s="12">
        <f>IF($A121="","",Dashboard!$B$4+SUMIFS('Trade Log'!$AA$3:$AA$152,'Trade Log'!$B$3:$B$152,"&lt;="&amp;$A121))</f>
        <v/>
      </c>
      <c r="H121" s="12">
        <f>IF($A121="","",MIN(Dashboard!$B$7,MAX(IF(H120="",Dashboard!$B$4,H120),G121)))</f>
        <v/>
      </c>
      <c r="I121" s="12">
        <f>IF($A121="","",H121-Dashboard!$B$5)</f>
        <v/>
      </c>
      <c r="J121" s="12">
        <f>IF($A121="","",G121-I121)</f>
        <v/>
      </c>
      <c r="K121" s="10">
        <f>IF($A121="","",IF(G121&lt;I121,"BREACH","ok"))</f>
        <v/>
      </c>
    </row>
    <row r="122">
      <c r="A122" s="18" t="n"/>
      <c r="B122" s="10">
        <f>IF($A122="","",COUNTIFS('Trade Log'!$B$3:$B$152,$A122))</f>
        <v/>
      </c>
      <c r="C122" s="10">
        <f>IF($A122="","",COUNTIFS('Trade Log'!$B$3:$B$152,$A122,'Trade Log'!$AC$3:$AC$152,1))</f>
        <v/>
      </c>
      <c r="D122" s="10">
        <f>IF($A122="","",COUNTIFS('Trade Log'!$B$3:$B$152,$A122,'Trade Log'!$AC$3:$AC$152,0))</f>
        <v/>
      </c>
      <c r="E122" s="12">
        <f>IF($A122="","",SUMIFS('Trade Log'!$AA$3:$AA$152,'Trade Log'!$B$3:$B$152,$A122))</f>
        <v/>
      </c>
      <c r="F122" s="11">
        <f>IFERROR(E122/Dashboard!$B$4,"")</f>
        <v/>
      </c>
      <c r="G122" s="12">
        <f>IF($A122="","",Dashboard!$B$4+SUMIFS('Trade Log'!$AA$3:$AA$152,'Trade Log'!$B$3:$B$152,"&lt;="&amp;$A122))</f>
        <v/>
      </c>
      <c r="H122" s="12">
        <f>IF($A122="","",MIN(Dashboard!$B$7,MAX(IF(H121="",Dashboard!$B$4,H121),G122)))</f>
        <v/>
      </c>
      <c r="I122" s="12">
        <f>IF($A122="","",H122-Dashboard!$B$5)</f>
        <v/>
      </c>
      <c r="J122" s="12">
        <f>IF($A122="","",G122-I122)</f>
        <v/>
      </c>
      <c r="K122" s="10">
        <f>IF($A122="","",IF(G122&lt;I122,"BREACH","ok"))</f>
        <v/>
      </c>
    </row>
    <row r="123">
      <c r="A123" s="18" t="n"/>
      <c r="B123" s="10">
        <f>IF($A123="","",COUNTIFS('Trade Log'!$B$3:$B$152,$A123))</f>
        <v/>
      </c>
      <c r="C123" s="10">
        <f>IF($A123="","",COUNTIFS('Trade Log'!$B$3:$B$152,$A123,'Trade Log'!$AC$3:$AC$152,1))</f>
        <v/>
      </c>
      <c r="D123" s="10">
        <f>IF($A123="","",COUNTIFS('Trade Log'!$B$3:$B$152,$A123,'Trade Log'!$AC$3:$AC$152,0))</f>
        <v/>
      </c>
      <c r="E123" s="12">
        <f>IF($A123="","",SUMIFS('Trade Log'!$AA$3:$AA$152,'Trade Log'!$B$3:$B$152,$A123))</f>
        <v/>
      </c>
      <c r="F123" s="11">
        <f>IFERROR(E123/Dashboard!$B$4,"")</f>
        <v/>
      </c>
      <c r="G123" s="12">
        <f>IF($A123="","",Dashboard!$B$4+SUMIFS('Trade Log'!$AA$3:$AA$152,'Trade Log'!$B$3:$B$152,"&lt;="&amp;$A123))</f>
        <v/>
      </c>
      <c r="H123" s="12">
        <f>IF($A123="","",MIN(Dashboard!$B$7,MAX(IF(H122="",Dashboard!$B$4,H122),G123)))</f>
        <v/>
      </c>
      <c r="I123" s="12">
        <f>IF($A123="","",H123-Dashboard!$B$5)</f>
        <v/>
      </c>
      <c r="J123" s="12">
        <f>IF($A123="","",G123-I123)</f>
        <v/>
      </c>
      <c r="K123" s="10">
        <f>IF($A123="","",IF(G123&lt;I123,"BREACH","ok"))</f>
        <v/>
      </c>
    </row>
    <row r="124">
      <c r="A124" s="18" t="n"/>
      <c r="B124" s="10">
        <f>IF($A124="","",COUNTIFS('Trade Log'!$B$3:$B$152,$A124))</f>
        <v/>
      </c>
      <c r="C124" s="10">
        <f>IF($A124="","",COUNTIFS('Trade Log'!$B$3:$B$152,$A124,'Trade Log'!$AC$3:$AC$152,1))</f>
        <v/>
      </c>
      <c r="D124" s="10">
        <f>IF($A124="","",COUNTIFS('Trade Log'!$B$3:$B$152,$A124,'Trade Log'!$AC$3:$AC$152,0))</f>
        <v/>
      </c>
      <c r="E124" s="12">
        <f>IF($A124="","",SUMIFS('Trade Log'!$AA$3:$AA$152,'Trade Log'!$B$3:$B$152,$A124))</f>
        <v/>
      </c>
      <c r="F124" s="11">
        <f>IFERROR(E124/Dashboard!$B$4,"")</f>
        <v/>
      </c>
      <c r="G124" s="12">
        <f>IF($A124="","",Dashboard!$B$4+SUMIFS('Trade Log'!$AA$3:$AA$152,'Trade Log'!$B$3:$B$152,"&lt;="&amp;$A124))</f>
        <v/>
      </c>
      <c r="H124" s="12">
        <f>IF($A124="","",MIN(Dashboard!$B$7,MAX(IF(H123="",Dashboard!$B$4,H123),G124)))</f>
        <v/>
      </c>
      <c r="I124" s="12">
        <f>IF($A124="","",H124-Dashboard!$B$5)</f>
        <v/>
      </c>
      <c r="J124" s="12">
        <f>IF($A124="","",G124-I124)</f>
        <v/>
      </c>
      <c r="K124" s="10">
        <f>IF($A124="","",IF(G124&lt;I124,"BREACH","ok"))</f>
        <v/>
      </c>
    </row>
    <row r="125">
      <c r="A125" s="18" t="n"/>
      <c r="B125" s="10">
        <f>IF($A125="","",COUNTIFS('Trade Log'!$B$3:$B$152,$A125))</f>
        <v/>
      </c>
      <c r="C125" s="10">
        <f>IF($A125="","",COUNTIFS('Trade Log'!$B$3:$B$152,$A125,'Trade Log'!$AC$3:$AC$152,1))</f>
        <v/>
      </c>
      <c r="D125" s="10">
        <f>IF($A125="","",COUNTIFS('Trade Log'!$B$3:$B$152,$A125,'Trade Log'!$AC$3:$AC$152,0))</f>
        <v/>
      </c>
      <c r="E125" s="12">
        <f>IF($A125="","",SUMIFS('Trade Log'!$AA$3:$AA$152,'Trade Log'!$B$3:$B$152,$A125))</f>
        <v/>
      </c>
      <c r="F125" s="11">
        <f>IFERROR(E125/Dashboard!$B$4,"")</f>
        <v/>
      </c>
      <c r="G125" s="12">
        <f>IF($A125="","",Dashboard!$B$4+SUMIFS('Trade Log'!$AA$3:$AA$152,'Trade Log'!$B$3:$B$152,"&lt;="&amp;$A125))</f>
        <v/>
      </c>
      <c r="H125" s="12">
        <f>IF($A125="","",MIN(Dashboard!$B$7,MAX(IF(H124="",Dashboard!$B$4,H124),G125)))</f>
        <v/>
      </c>
      <c r="I125" s="12">
        <f>IF($A125="","",H125-Dashboard!$B$5)</f>
        <v/>
      </c>
      <c r="J125" s="12">
        <f>IF($A125="","",G125-I125)</f>
        <v/>
      </c>
      <c r="K125" s="10">
        <f>IF($A125="","",IF(G125&lt;I125,"BREACH","ok"))</f>
        <v/>
      </c>
    </row>
    <row r="126">
      <c r="A126" s="18" t="n"/>
      <c r="B126" s="10">
        <f>IF($A126="","",COUNTIFS('Trade Log'!$B$3:$B$152,$A126))</f>
        <v/>
      </c>
      <c r="C126" s="10">
        <f>IF($A126="","",COUNTIFS('Trade Log'!$B$3:$B$152,$A126,'Trade Log'!$AC$3:$AC$152,1))</f>
        <v/>
      </c>
      <c r="D126" s="10">
        <f>IF($A126="","",COUNTIFS('Trade Log'!$B$3:$B$152,$A126,'Trade Log'!$AC$3:$AC$152,0))</f>
        <v/>
      </c>
      <c r="E126" s="12">
        <f>IF($A126="","",SUMIFS('Trade Log'!$AA$3:$AA$152,'Trade Log'!$B$3:$B$152,$A126))</f>
        <v/>
      </c>
      <c r="F126" s="11">
        <f>IFERROR(E126/Dashboard!$B$4,"")</f>
        <v/>
      </c>
      <c r="G126" s="12">
        <f>IF($A126="","",Dashboard!$B$4+SUMIFS('Trade Log'!$AA$3:$AA$152,'Trade Log'!$B$3:$B$152,"&lt;="&amp;$A126))</f>
        <v/>
      </c>
      <c r="H126" s="12">
        <f>IF($A126="","",MIN(Dashboard!$B$7,MAX(IF(H125="",Dashboard!$B$4,H125),G126)))</f>
        <v/>
      </c>
      <c r="I126" s="12">
        <f>IF($A126="","",H126-Dashboard!$B$5)</f>
        <v/>
      </c>
      <c r="J126" s="12">
        <f>IF($A126="","",G126-I126)</f>
        <v/>
      </c>
      <c r="K126" s="10">
        <f>IF($A126="","",IF(G126&lt;I126,"BREACH","ok"))</f>
        <v/>
      </c>
    </row>
    <row r="127">
      <c r="A127" s="18" t="n"/>
      <c r="B127" s="10">
        <f>IF($A127="","",COUNTIFS('Trade Log'!$B$3:$B$152,$A127))</f>
        <v/>
      </c>
      <c r="C127" s="10">
        <f>IF($A127="","",COUNTIFS('Trade Log'!$B$3:$B$152,$A127,'Trade Log'!$AC$3:$AC$152,1))</f>
        <v/>
      </c>
      <c r="D127" s="10">
        <f>IF($A127="","",COUNTIFS('Trade Log'!$B$3:$B$152,$A127,'Trade Log'!$AC$3:$AC$152,0))</f>
        <v/>
      </c>
      <c r="E127" s="12">
        <f>IF($A127="","",SUMIFS('Trade Log'!$AA$3:$AA$152,'Trade Log'!$B$3:$B$152,$A127))</f>
        <v/>
      </c>
      <c r="F127" s="11">
        <f>IFERROR(E127/Dashboard!$B$4,"")</f>
        <v/>
      </c>
      <c r="G127" s="12">
        <f>IF($A127="","",Dashboard!$B$4+SUMIFS('Trade Log'!$AA$3:$AA$152,'Trade Log'!$B$3:$B$152,"&lt;="&amp;$A127))</f>
        <v/>
      </c>
      <c r="H127" s="12">
        <f>IF($A127="","",MIN(Dashboard!$B$7,MAX(IF(H126="",Dashboard!$B$4,H126),G127)))</f>
        <v/>
      </c>
      <c r="I127" s="12">
        <f>IF($A127="","",H127-Dashboard!$B$5)</f>
        <v/>
      </c>
      <c r="J127" s="12">
        <f>IF($A127="","",G127-I127)</f>
        <v/>
      </c>
      <c r="K127" s="10">
        <f>IF($A127="","",IF(G127&lt;I127,"BREACH","ok"))</f>
        <v/>
      </c>
    </row>
    <row r="128">
      <c r="A128" s="18" t="n"/>
      <c r="B128" s="10">
        <f>IF($A128="","",COUNTIFS('Trade Log'!$B$3:$B$152,$A128))</f>
        <v/>
      </c>
      <c r="C128" s="10">
        <f>IF($A128="","",COUNTIFS('Trade Log'!$B$3:$B$152,$A128,'Trade Log'!$AC$3:$AC$152,1))</f>
        <v/>
      </c>
      <c r="D128" s="10">
        <f>IF($A128="","",COUNTIFS('Trade Log'!$B$3:$B$152,$A128,'Trade Log'!$AC$3:$AC$152,0))</f>
        <v/>
      </c>
      <c r="E128" s="12">
        <f>IF($A128="","",SUMIFS('Trade Log'!$AA$3:$AA$152,'Trade Log'!$B$3:$B$152,$A128))</f>
        <v/>
      </c>
      <c r="F128" s="11">
        <f>IFERROR(E128/Dashboard!$B$4,"")</f>
        <v/>
      </c>
      <c r="G128" s="12">
        <f>IF($A128="","",Dashboard!$B$4+SUMIFS('Trade Log'!$AA$3:$AA$152,'Trade Log'!$B$3:$B$152,"&lt;="&amp;$A128))</f>
        <v/>
      </c>
      <c r="H128" s="12">
        <f>IF($A128="","",MIN(Dashboard!$B$7,MAX(IF(H127="",Dashboard!$B$4,H127),G128)))</f>
        <v/>
      </c>
      <c r="I128" s="12">
        <f>IF($A128="","",H128-Dashboard!$B$5)</f>
        <v/>
      </c>
      <c r="J128" s="12">
        <f>IF($A128="","",G128-I128)</f>
        <v/>
      </c>
      <c r="K128" s="10">
        <f>IF($A128="","",IF(G128&lt;I128,"BREACH","ok"))</f>
        <v/>
      </c>
    </row>
    <row r="129">
      <c r="A129" s="18" t="n"/>
      <c r="B129" s="10">
        <f>IF($A129="","",COUNTIFS('Trade Log'!$B$3:$B$152,$A129))</f>
        <v/>
      </c>
      <c r="C129" s="10">
        <f>IF($A129="","",COUNTIFS('Trade Log'!$B$3:$B$152,$A129,'Trade Log'!$AC$3:$AC$152,1))</f>
        <v/>
      </c>
      <c r="D129" s="10">
        <f>IF($A129="","",COUNTIFS('Trade Log'!$B$3:$B$152,$A129,'Trade Log'!$AC$3:$AC$152,0))</f>
        <v/>
      </c>
      <c r="E129" s="12">
        <f>IF($A129="","",SUMIFS('Trade Log'!$AA$3:$AA$152,'Trade Log'!$B$3:$B$152,$A129))</f>
        <v/>
      </c>
      <c r="F129" s="11">
        <f>IFERROR(E129/Dashboard!$B$4,"")</f>
        <v/>
      </c>
      <c r="G129" s="12">
        <f>IF($A129="","",Dashboard!$B$4+SUMIFS('Trade Log'!$AA$3:$AA$152,'Trade Log'!$B$3:$B$152,"&lt;="&amp;$A129))</f>
        <v/>
      </c>
      <c r="H129" s="12">
        <f>IF($A129="","",MIN(Dashboard!$B$7,MAX(IF(H128="",Dashboard!$B$4,H128),G129)))</f>
        <v/>
      </c>
      <c r="I129" s="12">
        <f>IF($A129="","",H129-Dashboard!$B$5)</f>
        <v/>
      </c>
      <c r="J129" s="12">
        <f>IF($A129="","",G129-I129)</f>
        <v/>
      </c>
      <c r="K129" s="10">
        <f>IF($A129="","",IF(G129&lt;I129,"BREACH","ok"))</f>
        <v/>
      </c>
    </row>
    <row r="130">
      <c r="A130" s="18" t="n"/>
      <c r="B130" s="10">
        <f>IF($A130="","",COUNTIFS('Trade Log'!$B$3:$B$152,$A130))</f>
        <v/>
      </c>
      <c r="C130" s="10">
        <f>IF($A130="","",COUNTIFS('Trade Log'!$B$3:$B$152,$A130,'Trade Log'!$AC$3:$AC$152,1))</f>
        <v/>
      </c>
      <c r="D130" s="10">
        <f>IF($A130="","",COUNTIFS('Trade Log'!$B$3:$B$152,$A130,'Trade Log'!$AC$3:$AC$152,0))</f>
        <v/>
      </c>
      <c r="E130" s="12">
        <f>IF($A130="","",SUMIFS('Trade Log'!$AA$3:$AA$152,'Trade Log'!$B$3:$B$152,$A130))</f>
        <v/>
      </c>
      <c r="F130" s="11">
        <f>IFERROR(E130/Dashboard!$B$4,"")</f>
        <v/>
      </c>
      <c r="G130" s="12">
        <f>IF($A130="","",Dashboard!$B$4+SUMIFS('Trade Log'!$AA$3:$AA$152,'Trade Log'!$B$3:$B$152,"&lt;="&amp;$A130))</f>
        <v/>
      </c>
      <c r="H130" s="12">
        <f>IF($A130="","",MIN(Dashboard!$B$7,MAX(IF(H129="",Dashboard!$B$4,H129),G130)))</f>
        <v/>
      </c>
      <c r="I130" s="12">
        <f>IF($A130="","",H130-Dashboard!$B$5)</f>
        <v/>
      </c>
      <c r="J130" s="12">
        <f>IF($A130="","",G130-I130)</f>
        <v/>
      </c>
      <c r="K130" s="10">
        <f>IF($A130="","",IF(G130&lt;I130,"BREACH","ok"))</f>
        <v/>
      </c>
    </row>
    <row r="131">
      <c r="A131" s="18" t="n"/>
      <c r="B131" s="10">
        <f>IF($A131="","",COUNTIFS('Trade Log'!$B$3:$B$152,$A131))</f>
        <v/>
      </c>
      <c r="C131" s="10">
        <f>IF($A131="","",COUNTIFS('Trade Log'!$B$3:$B$152,$A131,'Trade Log'!$AC$3:$AC$152,1))</f>
        <v/>
      </c>
      <c r="D131" s="10">
        <f>IF($A131="","",COUNTIFS('Trade Log'!$B$3:$B$152,$A131,'Trade Log'!$AC$3:$AC$152,0))</f>
        <v/>
      </c>
      <c r="E131" s="12">
        <f>IF($A131="","",SUMIFS('Trade Log'!$AA$3:$AA$152,'Trade Log'!$B$3:$B$152,$A131))</f>
        <v/>
      </c>
      <c r="F131" s="11">
        <f>IFERROR(E131/Dashboard!$B$4,"")</f>
        <v/>
      </c>
      <c r="G131" s="12">
        <f>IF($A131="","",Dashboard!$B$4+SUMIFS('Trade Log'!$AA$3:$AA$152,'Trade Log'!$B$3:$B$152,"&lt;="&amp;$A131))</f>
        <v/>
      </c>
      <c r="H131" s="12">
        <f>IF($A131="","",MIN(Dashboard!$B$7,MAX(IF(H130="",Dashboard!$B$4,H130),G131)))</f>
        <v/>
      </c>
      <c r="I131" s="12">
        <f>IF($A131="","",H131-Dashboard!$B$5)</f>
        <v/>
      </c>
      <c r="J131" s="12">
        <f>IF($A131="","",G131-I131)</f>
        <v/>
      </c>
      <c r="K131" s="10">
        <f>IF($A131="","",IF(G131&lt;I131,"BREACH","ok"))</f>
        <v/>
      </c>
    </row>
    <row r="132">
      <c r="A132" s="18" t="n"/>
      <c r="B132" s="10">
        <f>IF($A132="","",COUNTIFS('Trade Log'!$B$3:$B$152,$A132))</f>
        <v/>
      </c>
      <c r="C132" s="10">
        <f>IF($A132="","",COUNTIFS('Trade Log'!$B$3:$B$152,$A132,'Trade Log'!$AC$3:$AC$152,1))</f>
        <v/>
      </c>
      <c r="D132" s="10">
        <f>IF($A132="","",COUNTIFS('Trade Log'!$B$3:$B$152,$A132,'Trade Log'!$AC$3:$AC$152,0))</f>
        <v/>
      </c>
      <c r="E132" s="12">
        <f>IF($A132="","",SUMIFS('Trade Log'!$AA$3:$AA$152,'Trade Log'!$B$3:$B$152,$A132))</f>
        <v/>
      </c>
      <c r="F132" s="11">
        <f>IFERROR(E132/Dashboard!$B$4,"")</f>
        <v/>
      </c>
      <c r="G132" s="12">
        <f>IF($A132="","",Dashboard!$B$4+SUMIFS('Trade Log'!$AA$3:$AA$152,'Trade Log'!$B$3:$B$152,"&lt;="&amp;$A132))</f>
        <v/>
      </c>
      <c r="H132" s="12">
        <f>IF($A132="","",MIN(Dashboard!$B$7,MAX(IF(H131="",Dashboard!$B$4,H131),G132)))</f>
        <v/>
      </c>
      <c r="I132" s="12">
        <f>IF($A132="","",H132-Dashboard!$B$5)</f>
        <v/>
      </c>
      <c r="J132" s="12">
        <f>IF($A132="","",G132-I132)</f>
        <v/>
      </c>
      <c r="K132" s="10">
        <f>IF($A132="","",IF(G132&lt;I132,"BREACH","ok"))</f>
        <v/>
      </c>
    </row>
    <row r="133">
      <c r="A133" s="18" t="n"/>
      <c r="B133" s="10">
        <f>IF($A133="","",COUNTIFS('Trade Log'!$B$3:$B$152,$A133))</f>
        <v/>
      </c>
      <c r="C133" s="10">
        <f>IF($A133="","",COUNTIFS('Trade Log'!$B$3:$B$152,$A133,'Trade Log'!$AC$3:$AC$152,1))</f>
        <v/>
      </c>
      <c r="D133" s="10">
        <f>IF($A133="","",COUNTIFS('Trade Log'!$B$3:$B$152,$A133,'Trade Log'!$AC$3:$AC$152,0))</f>
        <v/>
      </c>
      <c r="E133" s="12">
        <f>IF($A133="","",SUMIFS('Trade Log'!$AA$3:$AA$152,'Trade Log'!$B$3:$B$152,$A133))</f>
        <v/>
      </c>
      <c r="F133" s="11">
        <f>IFERROR(E133/Dashboard!$B$4,"")</f>
        <v/>
      </c>
      <c r="G133" s="12">
        <f>IF($A133="","",Dashboard!$B$4+SUMIFS('Trade Log'!$AA$3:$AA$152,'Trade Log'!$B$3:$B$152,"&lt;="&amp;$A133))</f>
        <v/>
      </c>
      <c r="H133" s="12">
        <f>IF($A133="","",MIN(Dashboard!$B$7,MAX(IF(H132="",Dashboard!$B$4,H132),G133)))</f>
        <v/>
      </c>
      <c r="I133" s="12">
        <f>IF($A133="","",H133-Dashboard!$B$5)</f>
        <v/>
      </c>
      <c r="J133" s="12">
        <f>IF($A133="","",G133-I133)</f>
        <v/>
      </c>
      <c r="K133" s="10">
        <f>IF($A133="","",IF(G133&lt;I133,"BREACH","ok"))</f>
        <v/>
      </c>
    </row>
    <row r="134">
      <c r="A134" s="18" t="n"/>
      <c r="B134" s="10">
        <f>IF($A134="","",COUNTIFS('Trade Log'!$B$3:$B$152,$A134))</f>
        <v/>
      </c>
      <c r="C134" s="10">
        <f>IF($A134="","",COUNTIFS('Trade Log'!$B$3:$B$152,$A134,'Trade Log'!$AC$3:$AC$152,1))</f>
        <v/>
      </c>
      <c r="D134" s="10">
        <f>IF($A134="","",COUNTIFS('Trade Log'!$B$3:$B$152,$A134,'Trade Log'!$AC$3:$AC$152,0))</f>
        <v/>
      </c>
      <c r="E134" s="12">
        <f>IF($A134="","",SUMIFS('Trade Log'!$AA$3:$AA$152,'Trade Log'!$B$3:$B$152,$A134))</f>
        <v/>
      </c>
      <c r="F134" s="11">
        <f>IFERROR(E134/Dashboard!$B$4,"")</f>
        <v/>
      </c>
      <c r="G134" s="12">
        <f>IF($A134="","",Dashboard!$B$4+SUMIFS('Trade Log'!$AA$3:$AA$152,'Trade Log'!$B$3:$B$152,"&lt;="&amp;$A134))</f>
        <v/>
      </c>
      <c r="H134" s="12">
        <f>IF($A134="","",MIN(Dashboard!$B$7,MAX(IF(H133="",Dashboard!$B$4,H133),G134)))</f>
        <v/>
      </c>
      <c r="I134" s="12">
        <f>IF($A134="","",H134-Dashboard!$B$5)</f>
        <v/>
      </c>
      <c r="J134" s="12">
        <f>IF($A134="","",G134-I134)</f>
        <v/>
      </c>
      <c r="K134" s="10">
        <f>IF($A134="","",IF(G134&lt;I134,"BREACH","ok"))</f>
        <v/>
      </c>
    </row>
    <row r="135">
      <c r="A135" s="18" t="n"/>
      <c r="B135" s="10">
        <f>IF($A135="","",COUNTIFS('Trade Log'!$B$3:$B$152,$A135))</f>
        <v/>
      </c>
      <c r="C135" s="10">
        <f>IF($A135="","",COUNTIFS('Trade Log'!$B$3:$B$152,$A135,'Trade Log'!$AC$3:$AC$152,1))</f>
        <v/>
      </c>
      <c r="D135" s="10">
        <f>IF($A135="","",COUNTIFS('Trade Log'!$B$3:$B$152,$A135,'Trade Log'!$AC$3:$AC$152,0))</f>
        <v/>
      </c>
      <c r="E135" s="12">
        <f>IF($A135="","",SUMIFS('Trade Log'!$AA$3:$AA$152,'Trade Log'!$B$3:$B$152,$A135))</f>
        <v/>
      </c>
      <c r="F135" s="11">
        <f>IFERROR(E135/Dashboard!$B$4,"")</f>
        <v/>
      </c>
      <c r="G135" s="12">
        <f>IF($A135="","",Dashboard!$B$4+SUMIFS('Trade Log'!$AA$3:$AA$152,'Trade Log'!$B$3:$B$152,"&lt;="&amp;$A135))</f>
        <v/>
      </c>
      <c r="H135" s="12">
        <f>IF($A135="","",MIN(Dashboard!$B$7,MAX(IF(H134="",Dashboard!$B$4,H134),G135)))</f>
        <v/>
      </c>
      <c r="I135" s="12">
        <f>IF($A135="","",H135-Dashboard!$B$5)</f>
        <v/>
      </c>
      <c r="J135" s="12">
        <f>IF($A135="","",G135-I135)</f>
        <v/>
      </c>
      <c r="K135" s="10">
        <f>IF($A135="","",IF(G135&lt;I135,"BREACH","ok"))</f>
        <v/>
      </c>
    </row>
    <row r="136">
      <c r="A136" s="18" t="n"/>
      <c r="B136" s="10">
        <f>IF($A136="","",COUNTIFS('Trade Log'!$B$3:$B$152,$A136))</f>
        <v/>
      </c>
      <c r="C136" s="10">
        <f>IF($A136="","",COUNTIFS('Trade Log'!$B$3:$B$152,$A136,'Trade Log'!$AC$3:$AC$152,1))</f>
        <v/>
      </c>
      <c r="D136" s="10">
        <f>IF($A136="","",COUNTIFS('Trade Log'!$B$3:$B$152,$A136,'Trade Log'!$AC$3:$AC$152,0))</f>
        <v/>
      </c>
      <c r="E136" s="12">
        <f>IF($A136="","",SUMIFS('Trade Log'!$AA$3:$AA$152,'Trade Log'!$B$3:$B$152,$A136))</f>
        <v/>
      </c>
      <c r="F136" s="11">
        <f>IFERROR(E136/Dashboard!$B$4,"")</f>
        <v/>
      </c>
      <c r="G136" s="12">
        <f>IF($A136="","",Dashboard!$B$4+SUMIFS('Trade Log'!$AA$3:$AA$152,'Trade Log'!$B$3:$B$152,"&lt;="&amp;$A136))</f>
        <v/>
      </c>
      <c r="H136" s="12">
        <f>IF($A136="","",MIN(Dashboard!$B$7,MAX(IF(H135="",Dashboard!$B$4,H135),G136)))</f>
        <v/>
      </c>
      <c r="I136" s="12">
        <f>IF($A136="","",H136-Dashboard!$B$5)</f>
        <v/>
      </c>
      <c r="J136" s="12">
        <f>IF($A136="","",G136-I136)</f>
        <v/>
      </c>
      <c r="K136" s="10">
        <f>IF($A136="","",IF(G136&lt;I136,"BREACH","ok"))</f>
        <v/>
      </c>
    </row>
    <row r="137">
      <c r="A137" s="18" t="n"/>
      <c r="B137" s="10">
        <f>IF($A137="","",COUNTIFS('Trade Log'!$B$3:$B$152,$A137))</f>
        <v/>
      </c>
      <c r="C137" s="10">
        <f>IF($A137="","",COUNTIFS('Trade Log'!$B$3:$B$152,$A137,'Trade Log'!$AC$3:$AC$152,1))</f>
        <v/>
      </c>
      <c r="D137" s="10">
        <f>IF($A137="","",COUNTIFS('Trade Log'!$B$3:$B$152,$A137,'Trade Log'!$AC$3:$AC$152,0))</f>
        <v/>
      </c>
      <c r="E137" s="12">
        <f>IF($A137="","",SUMIFS('Trade Log'!$AA$3:$AA$152,'Trade Log'!$B$3:$B$152,$A137))</f>
        <v/>
      </c>
      <c r="F137" s="11">
        <f>IFERROR(E137/Dashboard!$B$4,"")</f>
        <v/>
      </c>
      <c r="G137" s="12">
        <f>IF($A137="","",Dashboard!$B$4+SUMIFS('Trade Log'!$AA$3:$AA$152,'Trade Log'!$B$3:$B$152,"&lt;="&amp;$A137))</f>
        <v/>
      </c>
      <c r="H137" s="12">
        <f>IF($A137="","",MIN(Dashboard!$B$7,MAX(IF(H136="",Dashboard!$B$4,H136),G137)))</f>
        <v/>
      </c>
      <c r="I137" s="12">
        <f>IF($A137="","",H137-Dashboard!$B$5)</f>
        <v/>
      </c>
      <c r="J137" s="12">
        <f>IF($A137="","",G137-I137)</f>
        <v/>
      </c>
      <c r="K137" s="10">
        <f>IF($A137="","",IF(G137&lt;I137,"BREACH","ok"))</f>
        <v/>
      </c>
    </row>
    <row r="138">
      <c r="A138" s="18" t="n"/>
      <c r="B138" s="10">
        <f>IF($A138="","",COUNTIFS('Trade Log'!$B$3:$B$152,$A138))</f>
        <v/>
      </c>
      <c r="C138" s="10">
        <f>IF($A138="","",COUNTIFS('Trade Log'!$B$3:$B$152,$A138,'Trade Log'!$AC$3:$AC$152,1))</f>
        <v/>
      </c>
      <c r="D138" s="10">
        <f>IF($A138="","",COUNTIFS('Trade Log'!$B$3:$B$152,$A138,'Trade Log'!$AC$3:$AC$152,0))</f>
        <v/>
      </c>
      <c r="E138" s="12">
        <f>IF($A138="","",SUMIFS('Trade Log'!$AA$3:$AA$152,'Trade Log'!$B$3:$B$152,$A138))</f>
        <v/>
      </c>
      <c r="F138" s="11">
        <f>IFERROR(E138/Dashboard!$B$4,"")</f>
        <v/>
      </c>
      <c r="G138" s="12">
        <f>IF($A138="","",Dashboard!$B$4+SUMIFS('Trade Log'!$AA$3:$AA$152,'Trade Log'!$B$3:$B$152,"&lt;="&amp;$A138))</f>
        <v/>
      </c>
      <c r="H138" s="12">
        <f>IF($A138="","",MIN(Dashboard!$B$7,MAX(IF(H137="",Dashboard!$B$4,H137),G138)))</f>
        <v/>
      </c>
      <c r="I138" s="12">
        <f>IF($A138="","",H138-Dashboard!$B$5)</f>
        <v/>
      </c>
      <c r="J138" s="12">
        <f>IF($A138="","",G138-I138)</f>
        <v/>
      </c>
      <c r="K138" s="10">
        <f>IF($A138="","",IF(G138&lt;I138,"BREACH","ok"))</f>
        <v/>
      </c>
    </row>
    <row r="139">
      <c r="A139" s="18" t="n"/>
      <c r="B139" s="10">
        <f>IF($A139="","",COUNTIFS('Trade Log'!$B$3:$B$152,$A139))</f>
        <v/>
      </c>
      <c r="C139" s="10">
        <f>IF($A139="","",COUNTIFS('Trade Log'!$B$3:$B$152,$A139,'Trade Log'!$AC$3:$AC$152,1))</f>
        <v/>
      </c>
      <c r="D139" s="10">
        <f>IF($A139="","",COUNTIFS('Trade Log'!$B$3:$B$152,$A139,'Trade Log'!$AC$3:$AC$152,0))</f>
        <v/>
      </c>
      <c r="E139" s="12">
        <f>IF($A139="","",SUMIFS('Trade Log'!$AA$3:$AA$152,'Trade Log'!$B$3:$B$152,$A139))</f>
        <v/>
      </c>
      <c r="F139" s="11">
        <f>IFERROR(E139/Dashboard!$B$4,"")</f>
        <v/>
      </c>
      <c r="G139" s="12">
        <f>IF($A139="","",Dashboard!$B$4+SUMIFS('Trade Log'!$AA$3:$AA$152,'Trade Log'!$B$3:$B$152,"&lt;="&amp;$A139))</f>
        <v/>
      </c>
      <c r="H139" s="12">
        <f>IF($A139="","",MIN(Dashboard!$B$7,MAX(IF(H138="",Dashboard!$B$4,H138),G139)))</f>
        <v/>
      </c>
      <c r="I139" s="12">
        <f>IF($A139="","",H139-Dashboard!$B$5)</f>
        <v/>
      </c>
      <c r="J139" s="12">
        <f>IF($A139="","",G139-I139)</f>
        <v/>
      </c>
      <c r="K139" s="10">
        <f>IF($A139="","",IF(G139&lt;I139,"BREACH","ok"))</f>
        <v/>
      </c>
    </row>
    <row r="140">
      <c r="A140" s="18" t="n"/>
      <c r="B140" s="10">
        <f>IF($A140="","",COUNTIFS('Trade Log'!$B$3:$B$152,$A140))</f>
        <v/>
      </c>
      <c r="C140" s="10">
        <f>IF($A140="","",COUNTIFS('Trade Log'!$B$3:$B$152,$A140,'Trade Log'!$AC$3:$AC$152,1))</f>
        <v/>
      </c>
      <c r="D140" s="10">
        <f>IF($A140="","",COUNTIFS('Trade Log'!$B$3:$B$152,$A140,'Trade Log'!$AC$3:$AC$152,0))</f>
        <v/>
      </c>
      <c r="E140" s="12">
        <f>IF($A140="","",SUMIFS('Trade Log'!$AA$3:$AA$152,'Trade Log'!$B$3:$B$152,$A140))</f>
        <v/>
      </c>
      <c r="F140" s="11">
        <f>IFERROR(E140/Dashboard!$B$4,"")</f>
        <v/>
      </c>
      <c r="G140" s="12">
        <f>IF($A140="","",Dashboard!$B$4+SUMIFS('Trade Log'!$AA$3:$AA$152,'Trade Log'!$B$3:$B$152,"&lt;="&amp;$A140))</f>
        <v/>
      </c>
      <c r="H140" s="12">
        <f>IF($A140="","",MIN(Dashboard!$B$7,MAX(IF(H139="",Dashboard!$B$4,H139),G140)))</f>
        <v/>
      </c>
      <c r="I140" s="12">
        <f>IF($A140="","",H140-Dashboard!$B$5)</f>
        <v/>
      </c>
      <c r="J140" s="12">
        <f>IF($A140="","",G140-I140)</f>
        <v/>
      </c>
      <c r="K140" s="10">
        <f>IF($A140="","",IF(G140&lt;I140,"BREACH","ok"))</f>
        <v/>
      </c>
    </row>
    <row r="141">
      <c r="A141" s="18" t="n"/>
      <c r="B141" s="10">
        <f>IF($A141="","",COUNTIFS('Trade Log'!$B$3:$B$152,$A141))</f>
        <v/>
      </c>
      <c r="C141" s="10">
        <f>IF($A141="","",COUNTIFS('Trade Log'!$B$3:$B$152,$A141,'Trade Log'!$AC$3:$AC$152,1))</f>
        <v/>
      </c>
      <c r="D141" s="10">
        <f>IF($A141="","",COUNTIFS('Trade Log'!$B$3:$B$152,$A141,'Trade Log'!$AC$3:$AC$152,0))</f>
        <v/>
      </c>
      <c r="E141" s="12">
        <f>IF($A141="","",SUMIFS('Trade Log'!$AA$3:$AA$152,'Trade Log'!$B$3:$B$152,$A141))</f>
        <v/>
      </c>
      <c r="F141" s="11">
        <f>IFERROR(E141/Dashboard!$B$4,"")</f>
        <v/>
      </c>
      <c r="G141" s="12">
        <f>IF($A141="","",Dashboard!$B$4+SUMIFS('Trade Log'!$AA$3:$AA$152,'Trade Log'!$B$3:$B$152,"&lt;="&amp;$A141))</f>
        <v/>
      </c>
      <c r="H141" s="12">
        <f>IF($A141="","",MIN(Dashboard!$B$7,MAX(IF(H140="",Dashboard!$B$4,H140),G141)))</f>
        <v/>
      </c>
      <c r="I141" s="12">
        <f>IF($A141="","",H141-Dashboard!$B$5)</f>
        <v/>
      </c>
      <c r="J141" s="12">
        <f>IF($A141="","",G141-I141)</f>
        <v/>
      </c>
      <c r="K141" s="10">
        <f>IF($A141="","",IF(G141&lt;I141,"BREACH","ok"))</f>
        <v/>
      </c>
    </row>
    <row r="142">
      <c r="A142" s="18" t="n"/>
      <c r="B142" s="10">
        <f>IF($A142="","",COUNTIFS('Trade Log'!$B$3:$B$152,$A142))</f>
        <v/>
      </c>
      <c r="C142" s="10">
        <f>IF($A142="","",COUNTIFS('Trade Log'!$B$3:$B$152,$A142,'Trade Log'!$AC$3:$AC$152,1))</f>
        <v/>
      </c>
      <c r="D142" s="10">
        <f>IF($A142="","",COUNTIFS('Trade Log'!$B$3:$B$152,$A142,'Trade Log'!$AC$3:$AC$152,0))</f>
        <v/>
      </c>
      <c r="E142" s="12">
        <f>IF($A142="","",SUMIFS('Trade Log'!$AA$3:$AA$152,'Trade Log'!$B$3:$B$152,$A142))</f>
        <v/>
      </c>
      <c r="F142" s="11">
        <f>IFERROR(E142/Dashboard!$B$4,"")</f>
        <v/>
      </c>
      <c r="G142" s="12">
        <f>IF($A142="","",Dashboard!$B$4+SUMIFS('Trade Log'!$AA$3:$AA$152,'Trade Log'!$B$3:$B$152,"&lt;="&amp;$A142))</f>
        <v/>
      </c>
      <c r="H142" s="12">
        <f>IF($A142="","",MIN(Dashboard!$B$7,MAX(IF(H141="",Dashboard!$B$4,H141),G142)))</f>
        <v/>
      </c>
      <c r="I142" s="12">
        <f>IF($A142="","",H142-Dashboard!$B$5)</f>
        <v/>
      </c>
      <c r="J142" s="12">
        <f>IF($A142="","",G142-I142)</f>
        <v/>
      </c>
      <c r="K142" s="10">
        <f>IF($A142="","",IF(G142&lt;I142,"BREACH","ok"))</f>
        <v/>
      </c>
    </row>
    <row r="143">
      <c r="A143" s="18" t="n"/>
      <c r="B143" s="10">
        <f>IF($A143="","",COUNTIFS('Trade Log'!$B$3:$B$152,$A143))</f>
        <v/>
      </c>
      <c r="C143" s="10">
        <f>IF($A143="","",COUNTIFS('Trade Log'!$B$3:$B$152,$A143,'Trade Log'!$AC$3:$AC$152,1))</f>
        <v/>
      </c>
      <c r="D143" s="10">
        <f>IF($A143="","",COUNTIFS('Trade Log'!$B$3:$B$152,$A143,'Trade Log'!$AC$3:$AC$152,0))</f>
        <v/>
      </c>
      <c r="E143" s="12">
        <f>IF($A143="","",SUMIFS('Trade Log'!$AA$3:$AA$152,'Trade Log'!$B$3:$B$152,$A143))</f>
        <v/>
      </c>
      <c r="F143" s="11">
        <f>IFERROR(E143/Dashboard!$B$4,"")</f>
        <v/>
      </c>
      <c r="G143" s="12">
        <f>IF($A143="","",Dashboard!$B$4+SUMIFS('Trade Log'!$AA$3:$AA$152,'Trade Log'!$B$3:$B$152,"&lt;="&amp;$A143))</f>
        <v/>
      </c>
      <c r="H143" s="12">
        <f>IF($A143="","",MIN(Dashboard!$B$7,MAX(IF(H142="",Dashboard!$B$4,H142),G143)))</f>
        <v/>
      </c>
      <c r="I143" s="12">
        <f>IF($A143="","",H143-Dashboard!$B$5)</f>
        <v/>
      </c>
      <c r="J143" s="12">
        <f>IF($A143="","",G143-I143)</f>
        <v/>
      </c>
      <c r="K143" s="10">
        <f>IF($A143="","",IF(G143&lt;I143,"BREACH","ok"))</f>
        <v/>
      </c>
    </row>
    <row r="144">
      <c r="A144" s="18" t="n"/>
      <c r="B144" s="10">
        <f>IF($A144="","",COUNTIFS('Trade Log'!$B$3:$B$152,$A144))</f>
        <v/>
      </c>
      <c r="C144" s="10">
        <f>IF($A144="","",COUNTIFS('Trade Log'!$B$3:$B$152,$A144,'Trade Log'!$AC$3:$AC$152,1))</f>
        <v/>
      </c>
      <c r="D144" s="10">
        <f>IF($A144="","",COUNTIFS('Trade Log'!$B$3:$B$152,$A144,'Trade Log'!$AC$3:$AC$152,0))</f>
        <v/>
      </c>
      <c r="E144" s="12">
        <f>IF($A144="","",SUMIFS('Trade Log'!$AA$3:$AA$152,'Trade Log'!$B$3:$B$152,$A144))</f>
        <v/>
      </c>
      <c r="F144" s="11">
        <f>IFERROR(E144/Dashboard!$B$4,"")</f>
        <v/>
      </c>
      <c r="G144" s="12">
        <f>IF($A144="","",Dashboard!$B$4+SUMIFS('Trade Log'!$AA$3:$AA$152,'Trade Log'!$B$3:$B$152,"&lt;="&amp;$A144))</f>
        <v/>
      </c>
      <c r="H144" s="12">
        <f>IF($A144="","",MIN(Dashboard!$B$7,MAX(IF(H143="",Dashboard!$B$4,H143),G144)))</f>
        <v/>
      </c>
      <c r="I144" s="12">
        <f>IF($A144="","",H144-Dashboard!$B$5)</f>
        <v/>
      </c>
      <c r="J144" s="12">
        <f>IF($A144="","",G144-I144)</f>
        <v/>
      </c>
      <c r="K144" s="10">
        <f>IF($A144="","",IF(G144&lt;I144,"BREACH","ok"))</f>
        <v/>
      </c>
    </row>
    <row r="145">
      <c r="A145" s="18" t="n"/>
      <c r="B145" s="10">
        <f>IF($A145="","",COUNTIFS('Trade Log'!$B$3:$B$152,$A145))</f>
        <v/>
      </c>
      <c r="C145" s="10">
        <f>IF($A145="","",COUNTIFS('Trade Log'!$B$3:$B$152,$A145,'Trade Log'!$AC$3:$AC$152,1))</f>
        <v/>
      </c>
      <c r="D145" s="10">
        <f>IF($A145="","",COUNTIFS('Trade Log'!$B$3:$B$152,$A145,'Trade Log'!$AC$3:$AC$152,0))</f>
        <v/>
      </c>
      <c r="E145" s="12">
        <f>IF($A145="","",SUMIFS('Trade Log'!$AA$3:$AA$152,'Trade Log'!$B$3:$B$152,$A145))</f>
        <v/>
      </c>
      <c r="F145" s="11">
        <f>IFERROR(E145/Dashboard!$B$4,"")</f>
        <v/>
      </c>
      <c r="G145" s="12">
        <f>IF($A145="","",Dashboard!$B$4+SUMIFS('Trade Log'!$AA$3:$AA$152,'Trade Log'!$B$3:$B$152,"&lt;="&amp;$A145))</f>
        <v/>
      </c>
      <c r="H145" s="12">
        <f>IF($A145="","",MIN(Dashboard!$B$7,MAX(IF(H144="",Dashboard!$B$4,H144),G145)))</f>
        <v/>
      </c>
      <c r="I145" s="12">
        <f>IF($A145="","",H145-Dashboard!$B$5)</f>
        <v/>
      </c>
      <c r="J145" s="12">
        <f>IF($A145="","",G145-I145)</f>
        <v/>
      </c>
      <c r="K145" s="10">
        <f>IF($A145="","",IF(G145&lt;I145,"BREACH","ok"))</f>
        <v/>
      </c>
    </row>
    <row r="146">
      <c r="A146" s="18" t="n"/>
      <c r="B146" s="10">
        <f>IF($A146="","",COUNTIFS('Trade Log'!$B$3:$B$152,$A146))</f>
        <v/>
      </c>
      <c r="C146" s="10">
        <f>IF($A146="","",COUNTIFS('Trade Log'!$B$3:$B$152,$A146,'Trade Log'!$AC$3:$AC$152,1))</f>
        <v/>
      </c>
      <c r="D146" s="10">
        <f>IF($A146="","",COUNTIFS('Trade Log'!$B$3:$B$152,$A146,'Trade Log'!$AC$3:$AC$152,0))</f>
        <v/>
      </c>
      <c r="E146" s="12">
        <f>IF($A146="","",SUMIFS('Trade Log'!$AA$3:$AA$152,'Trade Log'!$B$3:$B$152,$A146))</f>
        <v/>
      </c>
      <c r="F146" s="11">
        <f>IFERROR(E146/Dashboard!$B$4,"")</f>
        <v/>
      </c>
      <c r="G146" s="12">
        <f>IF($A146="","",Dashboard!$B$4+SUMIFS('Trade Log'!$AA$3:$AA$152,'Trade Log'!$B$3:$B$152,"&lt;="&amp;$A146))</f>
        <v/>
      </c>
      <c r="H146" s="12">
        <f>IF($A146="","",MIN(Dashboard!$B$7,MAX(IF(H145="",Dashboard!$B$4,H145),G146)))</f>
        <v/>
      </c>
      <c r="I146" s="12">
        <f>IF($A146="","",H146-Dashboard!$B$5)</f>
        <v/>
      </c>
      <c r="J146" s="12">
        <f>IF($A146="","",G146-I146)</f>
        <v/>
      </c>
      <c r="K146" s="10">
        <f>IF($A146="","",IF(G146&lt;I146,"BREACH","ok"))</f>
        <v/>
      </c>
    </row>
    <row r="147">
      <c r="A147" s="18" t="n"/>
      <c r="B147" s="10">
        <f>IF($A147="","",COUNTIFS('Trade Log'!$B$3:$B$152,$A147))</f>
        <v/>
      </c>
      <c r="C147" s="10">
        <f>IF($A147="","",COUNTIFS('Trade Log'!$B$3:$B$152,$A147,'Trade Log'!$AC$3:$AC$152,1))</f>
        <v/>
      </c>
      <c r="D147" s="10">
        <f>IF($A147="","",COUNTIFS('Trade Log'!$B$3:$B$152,$A147,'Trade Log'!$AC$3:$AC$152,0))</f>
        <v/>
      </c>
      <c r="E147" s="12">
        <f>IF($A147="","",SUMIFS('Trade Log'!$AA$3:$AA$152,'Trade Log'!$B$3:$B$152,$A147))</f>
        <v/>
      </c>
      <c r="F147" s="11">
        <f>IFERROR(E147/Dashboard!$B$4,"")</f>
        <v/>
      </c>
      <c r="G147" s="12">
        <f>IF($A147="","",Dashboard!$B$4+SUMIFS('Trade Log'!$AA$3:$AA$152,'Trade Log'!$B$3:$B$152,"&lt;="&amp;$A147))</f>
        <v/>
      </c>
      <c r="H147" s="12">
        <f>IF($A147="","",MIN(Dashboard!$B$7,MAX(IF(H146="",Dashboard!$B$4,H146),G147)))</f>
        <v/>
      </c>
      <c r="I147" s="12">
        <f>IF($A147="","",H147-Dashboard!$B$5)</f>
        <v/>
      </c>
      <c r="J147" s="12">
        <f>IF($A147="","",G147-I147)</f>
        <v/>
      </c>
      <c r="K147" s="10">
        <f>IF($A147="","",IF(G147&lt;I147,"BREACH","ok"))</f>
        <v/>
      </c>
    </row>
    <row r="148">
      <c r="A148" s="18" t="n"/>
      <c r="B148" s="10">
        <f>IF($A148="","",COUNTIFS('Trade Log'!$B$3:$B$152,$A148))</f>
        <v/>
      </c>
      <c r="C148" s="10">
        <f>IF($A148="","",COUNTIFS('Trade Log'!$B$3:$B$152,$A148,'Trade Log'!$AC$3:$AC$152,1))</f>
        <v/>
      </c>
      <c r="D148" s="10">
        <f>IF($A148="","",COUNTIFS('Trade Log'!$B$3:$B$152,$A148,'Trade Log'!$AC$3:$AC$152,0))</f>
        <v/>
      </c>
      <c r="E148" s="12">
        <f>IF($A148="","",SUMIFS('Trade Log'!$AA$3:$AA$152,'Trade Log'!$B$3:$B$152,$A148))</f>
        <v/>
      </c>
      <c r="F148" s="11">
        <f>IFERROR(E148/Dashboard!$B$4,"")</f>
        <v/>
      </c>
      <c r="G148" s="12">
        <f>IF($A148="","",Dashboard!$B$4+SUMIFS('Trade Log'!$AA$3:$AA$152,'Trade Log'!$B$3:$B$152,"&lt;="&amp;$A148))</f>
        <v/>
      </c>
      <c r="H148" s="12">
        <f>IF($A148="","",MIN(Dashboard!$B$7,MAX(IF(H147="",Dashboard!$B$4,H147),G148)))</f>
        <v/>
      </c>
      <c r="I148" s="12">
        <f>IF($A148="","",H148-Dashboard!$B$5)</f>
        <v/>
      </c>
      <c r="J148" s="12">
        <f>IF($A148="","",G148-I148)</f>
        <v/>
      </c>
      <c r="K148" s="10">
        <f>IF($A148="","",IF(G148&lt;I148,"BREACH","ok"))</f>
        <v/>
      </c>
    </row>
    <row r="149">
      <c r="A149" s="18" t="n"/>
      <c r="B149" s="10">
        <f>IF($A149="","",COUNTIFS('Trade Log'!$B$3:$B$152,$A149))</f>
        <v/>
      </c>
      <c r="C149" s="10">
        <f>IF($A149="","",COUNTIFS('Trade Log'!$B$3:$B$152,$A149,'Trade Log'!$AC$3:$AC$152,1))</f>
        <v/>
      </c>
      <c r="D149" s="10">
        <f>IF($A149="","",COUNTIFS('Trade Log'!$B$3:$B$152,$A149,'Trade Log'!$AC$3:$AC$152,0))</f>
        <v/>
      </c>
      <c r="E149" s="12">
        <f>IF($A149="","",SUMIFS('Trade Log'!$AA$3:$AA$152,'Trade Log'!$B$3:$B$152,$A149))</f>
        <v/>
      </c>
      <c r="F149" s="11">
        <f>IFERROR(E149/Dashboard!$B$4,"")</f>
        <v/>
      </c>
      <c r="G149" s="12">
        <f>IF($A149="","",Dashboard!$B$4+SUMIFS('Trade Log'!$AA$3:$AA$152,'Trade Log'!$B$3:$B$152,"&lt;="&amp;$A149))</f>
        <v/>
      </c>
      <c r="H149" s="12">
        <f>IF($A149="","",MIN(Dashboard!$B$7,MAX(IF(H148="",Dashboard!$B$4,H148),G149)))</f>
        <v/>
      </c>
      <c r="I149" s="12">
        <f>IF($A149="","",H149-Dashboard!$B$5)</f>
        <v/>
      </c>
      <c r="J149" s="12">
        <f>IF($A149="","",G149-I149)</f>
        <v/>
      </c>
      <c r="K149" s="10">
        <f>IF($A149="","",IF(G149&lt;I149,"BREACH","ok"))</f>
        <v/>
      </c>
    </row>
    <row r="150">
      <c r="A150" s="18" t="n"/>
      <c r="B150" s="10">
        <f>IF($A150="","",COUNTIFS('Trade Log'!$B$3:$B$152,$A150))</f>
        <v/>
      </c>
      <c r="C150" s="10">
        <f>IF($A150="","",COUNTIFS('Trade Log'!$B$3:$B$152,$A150,'Trade Log'!$AC$3:$AC$152,1))</f>
        <v/>
      </c>
      <c r="D150" s="10">
        <f>IF($A150="","",COUNTIFS('Trade Log'!$B$3:$B$152,$A150,'Trade Log'!$AC$3:$AC$152,0))</f>
        <v/>
      </c>
      <c r="E150" s="12">
        <f>IF($A150="","",SUMIFS('Trade Log'!$AA$3:$AA$152,'Trade Log'!$B$3:$B$152,$A150))</f>
        <v/>
      </c>
      <c r="F150" s="11">
        <f>IFERROR(E150/Dashboard!$B$4,"")</f>
        <v/>
      </c>
      <c r="G150" s="12">
        <f>IF($A150="","",Dashboard!$B$4+SUMIFS('Trade Log'!$AA$3:$AA$152,'Trade Log'!$B$3:$B$152,"&lt;="&amp;$A150))</f>
        <v/>
      </c>
      <c r="H150" s="12">
        <f>IF($A150="","",MIN(Dashboard!$B$7,MAX(IF(H149="",Dashboard!$B$4,H149),G150)))</f>
        <v/>
      </c>
      <c r="I150" s="12">
        <f>IF($A150="","",H150-Dashboard!$B$5)</f>
        <v/>
      </c>
      <c r="J150" s="12">
        <f>IF($A150="","",G150-I150)</f>
        <v/>
      </c>
      <c r="K150" s="10">
        <f>IF($A150="","",IF(G150&lt;I150,"BREACH","ok"))</f>
        <v/>
      </c>
    </row>
    <row r="151">
      <c r="A151" s="18" t="n"/>
      <c r="B151" s="10">
        <f>IF($A151="","",COUNTIFS('Trade Log'!$B$3:$B$152,$A151))</f>
        <v/>
      </c>
      <c r="C151" s="10">
        <f>IF($A151="","",COUNTIFS('Trade Log'!$B$3:$B$152,$A151,'Trade Log'!$AC$3:$AC$152,1))</f>
        <v/>
      </c>
      <c r="D151" s="10">
        <f>IF($A151="","",COUNTIFS('Trade Log'!$B$3:$B$152,$A151,'Trade Log'!$AC$3:$AC$152,0))</f>
        <v/>
      </c>
      <c r="E151" s="12">
        <f>IF($A151="","",SUMIFS('Trade Log'!$AA$3:$AA$152,'Trade Log'!$B$3:$B$152,$A151))</f>
        <v/>
      </c>
      <c r="F151" s="11">
        <f>IFERROR(E151/Dashboard!$B$4,"")</f>
        <v/>
      </c>
      <c r="G151" s="12">
        <f>IF($A151="","",Dashboard!$B$4+SUMIFS('Trade Log'!$AA$3:$AA$152,'Trade Log'!$B$3:$B$152,"&lt;="&amp;$A151))</f>
        <v/>
      </c>
      <c r="H151" s="12">
        <f>IF($A151="","",MIN(Dashboard!$B$7,MAX(IF(H150="",Dashboard!$B$4,H150),G151)))</f>
        <v/>
      </c>
      <c r="I151" s="12">
        <f>IF($A151="","",H151-Dashboard!$B$5)</f>
        <v/>
      </c>
      <c r="J151" s="12">
        <f>IF($A151="","",G151-I151)</f>
        <v/>
      </c>
      <c r="K151" s="10">
        <f>IF($A151="","",IF(G151&lt;I151,"BREACH","ok"))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2026-09-16T15:43:32Z</dcterms:created>
  <dcterms:modified xsi:type="dcterms:W3CDTF">2026-09-16T15:43:32Z</dcterms:modified>
</cp:coreProperties>
</file>